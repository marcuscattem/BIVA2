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b041bff9024d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oes" sheetId="1" r:id="R702f8bbe7c2b4821"/>
    <x:sheet xmlns:r="http://schemas.openxmlformats.org/officeDocument/2006/relationships" name="Dados" sheetId="2" r:id="Rd5564e548dff4f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F8A"/>
      <x:name val="Carlito"/>
    </x:font>
    <x:font>
      <x:b/>
      <x:sz val="11"/>
      <x:color rgb="FF0B6B5D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F8A"/>
      </x:patternFill>
    </x:fill>
    <x:fill>
      <x:patternFill patternType="solid">
        <x:fgColor rgb="FFDCE7F7"/>
      </x:patternFill>
    </x:fill>
    <x:fill>
      <x:patternFill patternType="solid">
        <x:fgColor rgb="FFE8F4F1"/>
      </x:patternFill>
    </x:fill>
    <x:fill>
      <x:patternFill patternType="solid">
        <x:fgColor rgb="FFFFFDF8"/>
      </x:patternFill>
    </x:fill>
    <x:fill>
      <x:patternFill patternType="solid">
        <x:fgColor rgb="FFEEF4FB"/>
      </x:patternFill>
    </x:fill>
  </x:fills>
  <x:borders count="16">
    <x:border/>
    <x:border>
      <x:right style="thin">
        <x:color rgb="FFD9DEE8"/>
      </x:right>
      <x:bottom style="thin">
        <x:color rgb="FFD9DEE8"/>
      </x:bottom>
    </x:border>
    <x:border>
      <x:left style="thin">
        <x:color rgb="FFD9DEE8"/>
      </x:left>
      <x:bottom style="thin">
        <x:color rgb="FFD9DEE8"/>
      </x:bottom>
    </x:border>
    <x:border>
      <x:right style="thin">
        <x:color rgb="FFD9DEE8"/>
      </x:right>
      <x:top style="thin">
        <x:color rgb="FFD9DEE8"/>
      </x:top>
      <x:bottom style="thin">
        <x:color rgb="FFD9DEE8"/>
      </x:bottom>
    </x:border>
    <x:border>
      <x:left style="thin">
        <x:color rgb="FFD9DEE8"/>
      </x:left>
      <x:top style="thin">
        <x:color rgb="FFD9DEE8"/>
      </x:top>
      <x:bottom style="thin">
        <x:color rgb="FFD9DEE8"/>
      </x:bottom>
    </x:border>
    <x:border>
      <x:right style="thin">
        <x:color rgb="FFD9DEE8"/>
      </x:right>
      <x:top style="thin">
        <x:color rgb="FFD9DEE8"/>
      </x:top>
    </x:border>
    <x:border>
      <x:left style="thin">
        <x:color rgb="FFD9DEE8"/>
      </x:left>
      <x:top style="thin">
        <x:color rgb="FFD9DEE8"/>
      </x:top>
    </x:border>
    <x:border>
      <x:right style="thin">
        <x:color rgb="FFE4E7EC"/>
      </x:right>
      <x:bottom style="thin">
        <x:color rgb="FFE4E7EC"/>
      </x:bottom>
    </x:border>
    <x:border>
      <x:left style="thin">
        <x:color rgb="FFE4E7EC"/>
      </x:left>
      <x:right style="thin">
        <x:color rgb="FFE4E7EC"/>
      </x:right>
      <x:bottom style="thin">
        <x:color rgb="FFE4E7EC"/>
      </x:bottom>
    </x:border>
    <x:border>
      <x:left style="thin">
        <x:color rgb="FFE4E7EC"/>
      </x:left>
      <x:bottom style="thin">
        <x:color rgb="FFE4E7EC"/>
      </x:bottom>
    </x:border>
    <x:border>
      <x:right style="thin">
        <x:color rgb="FFE4E7EC"/>
      </x:right>
      <x:top style="thin">
        <x:color rgb="FFE4E7EC"/>
      </x:top>
      <x:bottom style="thin">
        <x:color rgb="FFE4E7EC"/>
      </x:bottom>
    </x:border>
    <x:border>
      <x:left style="thin">
        <x:color rgb="FFE4E7EC"/>
      </x:left>
      <x:right style="thin">
        <x:color rgb="FFE4E7EC"/>
      </x:right>
      <x:top style="thin">
        <x:color rgb="FFE4E7EC"/>
      </x:top>
      <x:bottom style="thin">
        <x:color rgb="FFE4E7EC"/>
      </x:bottom>
    </x:border>
    <x:border>
      <x:left style="thin">
        <x:color rgb="FFE4E7EC"/>
      </x:left>
      <x:top style="thin">
        <x:color rgb="FFE4E7EC"/>
      </x:top>
      <x:bottom style="thin">
        <x:color rgb="FFE4E7EC"/>
      </x:bottom>
    </x:border>
    <x:border>
      <x:right style="thin">
        <x:color rgb="FFE4E7EC"/>
      </x:right>
      <x:top style="thin">
        <x:color rgb="FFE4E7EC"/>
      </x:top>
    </x:border>
    <x:border>
      <x:left style="thin">
        <x:color rgb="FFE4E7EC"/>
      </x:left>
      <x:right style="thin">
        <x:color rgb="FFE4E7EC"/>
      </x:right>
      <x:top style="thin">
        <x:color rgb="FFE4E7EC"/>
      </x:top>
    </x:border>
    <x:border>
      <x:left style="thin">
        <x:color rgb="FFE4E7EC"/>
      </x:left>
      <x:top style="thin">
        <x:color rgb="FFE4E7EC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2" fillId="0" borderId="3" xfId="0" applyNumberFormat="1" applyFont="1" applyFill="1" applyBorder="1"/>
    <x:xf numFmtId="0" fontId="2" fillId="0" borderId="5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1" fontId="0" fillId="6" borderId="0" xfId="0" applyNumberFormat="1" applyFont="1" applyFill="1" applyBorder="1"/>
    <x:xf numFmtId="0" fontId="4" fillId="2" borderId="7" xfId="0" applyNumberFormat="1" applyFont="1" applyFill="1" applyBorder="1"/>
    <x:xf numFmtId="0" fontId="4" fillId="2" borderId="8" xfId="0" applyNumberFormat="1" applyFont="1" applyFill="1" applyBorder="1"/>
    <x:xf numFmtId="0" fontId="4" fillId="2" borderId="9" xfId="0" applyNumberFormat="1" applyFont="1" applyFill="1" applyBorder="1"/>
    <x:xf numFmtId="0" fontId="0" fillId="5" borderId="10" xfId="0" applyNumberFormat="1" applyFont="1" applyFill="1" applyBorder="1"/>
    <x:xf numFmtId="200" fontId="0" fillId="5" borderId="11" xfId="0" applyNumberFormat="1" applyFont="1" applyFill="1" applyBorder="1"/>
    <x:xf numFmtId="0" fontId="0" fillId="5" borderId="11" xfId="0" applyNumberFormat="1" applyFont="1" applyFill="1" applyBorder="1"/>
    <x:xf numFmtId="201" fontId="0" fillId="5" borderId="11" xfId="0" applyNumberFormat="1" applyFont="1" applyFill="1" applyBorder="1"/>
    <x:xf numFmtId="201" fontId="0" fillId="6" borderId="11" xfId="0" applyNumberFormat="1" applyFont="1" applyFill="1" applyBorder="1"/>
    <x:xf numFmtId="201" fontId="0" fillId="6" borderId="12" xfId="0" applyNumberFormat="1" applyFont="1" applyFill="1" applyBorder="1"/>
    <x:xf numFmtId="0" fontId="0" fillId="5" borderId="13" xfId="0" applyNumberFormat="1" applyFont="1" applyFill="1" applyBorder="1"/>
    <x:xf numFmtId="200" fontId="0" fillId="5" borderId="14" xfId="0" applyNumberFormat="1" applyFont="1" applyFill="1" applyBorder="1"/>
    <x:xf numFmtId="0" fontId="0" fillId="5" borderId="14" xfId="0" applyNumberFormat="1" applyFont="1" applyFill="1" applyBorder="1"/>
    <x:xf numFmtId="201" fontId="0" fillId="5" borderId="14" xfId="0" applyNumberFormat="1" applyFont="1" applyFill="1" applyBorder="1"/>
    <x:xf numFmtId="201" fontId="0" fillId="6" borderId="14" xfId="0" applyNumberFormat="1" applyFont="1" applyFill="1" applyBorder="1"/>
    <x:xf numFmtId="201" fontId="0" fillId="6" borderId="15" xfId="0" applyNumberFormat="1" applyFont="1" applyFill="1" applyBorder="1"/>
    <x:xf numFmtId="0" fontId="4" fillId="2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4f8983567349cd" /><Relationship Type="http://schemas.openxmlformats.org/officeDocument/2006/relationships/theme" Target="/xl/theme/theme1.xml" Id="Ra8de535a7e8d41b6" /><Relationship Type="http://schemas.openxmlformats.org/officeDocument/2006/relationships/sharedStrings" Target="/xl/sharedStrings.xml" Id="R5b44642e40f44fef" /><Relationship Type="http://schemas.openxmlformats.org/officeDocument/2006/relationships/worksheet" Target="/xl/worksheets/sheet1.xml" Id="R702f8bbe7c2b4821" /><Relationship Type="http://schemas.openxmlformats.org/officeDocument/2006/relationships/worksheet" Target="/xl/worksheets/sheet2.xml" Id="Rd5564e548dff4fe0" /></Relationships>
</file>

<file path=xl/tables/table1.xml><?xml version="1.0" encoding="utf-8"?>
<x:table xmlns:x="http://schemas.openxmlformats.org/spreadsheetml/2006/main" id="1" name="DadosBIVA2" displayName="DadosBIVA2" ref="A1:W201" headerRowCount="1" totalsRowCount="0" totalsRowShown="0">
  <x:tableColumns count="23">
    <x:tableColumn id="1" name="Grupo"/>
    <x:tableColumn id="2" name="N"/>
    <x:tableColumn id="3" name="Participante"/>
    <x:tableColumn id="4" name="Tempo"/>
    <x:tableColumn id="5" name="R_ohm"/>
    <x:tableColumn id="6" name="Xc_ohm"/>
    <x:tableColumn id="7" name="H_m"/>
    <x:tableColumn id="8" name="Braco_direito_cm"/>
    <x:tableColumn id="9" name="Cintura_cm"/>
    <x:tableColumn id="10" name="Panturrilha_direita_cm"/>
    <x:tableColumn id="11" name="Sexo"/>
    <x:tableColumn id="12" name="Idade"/>
    <x:tableColumn id="13" name="Pais"/>
    <x:tableColumn id="14" name="Equipamento"/>
    <x:tableColumn id="15" name="Populacao"/>
    <x:tableColumn id="16" name="Cor"/>
    <x:tableColumn id="17" name="Simbolo"/>
    <x:tableColumn id="18" name="R_H"/>
    <x:tableColumn id="19" name="Xc_H"/>
    <x:tableColumn id="20" name="Area_corporal_cm2"/>
    <x:tableColumn id="21" name="L_cm"/>
    <x:tableColumn id="22" name="Rsp"/>
    <x:tableColumn id="23" name="Xcs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91ba319eadd4a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8" hidden="0" customWidth="1"/>
  </x:cols>
  <x:sheetData>
    <x:row r="1" ht="30" customHeight="1">
      <x:c r="A1" s="2" t="str">
        <x:v>BIVA2.0 — modelo de importação em lote</x:v>
      </x:c>
      <x:c r="B1" s="2"/>
      <x:c r="C1" s="2"/>
      <x:c r="D1" s="2"/>
      <x:c r="E1" s="2"/>
      <x:c r="F1" s="2"/>
      <x:c r="G1" s="2"/>
      <x:c r="H1" s="2"/>
    </x:row>
    <x:row r="3">
      <x:c r="A3" s="13" t="str">
        <x:v>Campo</x:v>
      </x:c>
      <x:c r="B3" s="14" t="str">
        <x:v>Como preencher</x:v>
      </x:c>
    </x:row>
    <x:row r="4">
      <x:c r="A4" s="15" t="str">
        <x:v>Grupo</x:v>
      </x:c>
      <x:c r="B4" s="16" t="str">
        <x:v>Obrigatório. Linhas com o mesmo nome formam uma elipse de confiança.</x:v>
      </x:c>
    </x:row>
    <x:row r="5">
      <x:c r="A5" s="15" t="str">
        <x:v>N</x:v>
      </x:c>
      <x:c r="B5" s="16" t="str">
        <x:v>Opcional. Tamanho esperado do grupo; o BIVA2 sempre recalcula N pelas linhas válidas.</x:v>
      </x:c>
    </x:row>
    <x:row r="6">
      <x:c r="A6" s="15" t="str">
        <x:v>Participante</x:v>
      </x:c>
      <x:c r="B6" s="16" t="str">
        <x:v>Identificador individual. Necessário para trajetórias longitudinais na tolerância.</x:v>
      </x:c>
    </x:row>
    <x:row r="7">
      <x:c r="A7" s="15" t="str">
        <x:v>Tempo</x:v>
      </x:c>
      <x:c r="B7" s="16" t="str">
        <x:v>Momento da medida, por exemplo T1, T2 ou Pós.</x:v>
      </x:c>
    </x:row>
    <x:row r="8">
      <x:c r="A8" s="15" t="str">
        <x:v>R_ohm / Xc_ohm</x:v>
      </x:c>
      <x:c r="B8" s="16" t="str">
        <x:v>Obrigatórios. Resistência e reatância brutas em ohms.</x:v>
      </x:c>
    </x:row>
    <x:row r="9">
      <x:c r="A9" s="15" t="str">
        <x:v>H_m</x:v>
      </x:c>
      <x:c r="B9" s="16" t="str">
        <x:v>Obrigatório para BIVA clássica e específica. Use metros, por exemplo 1.75.</x:v>
      </x:c>
    </x:row>
    <x:row r="10">
      <x:c r="A10" s="15" t="str">
        <x:v>Perímetros</x:v>
      </x:c>
      <x:c r="B10" s="16" t="str">
        <x:v>Braço direito, cintura e panturrilha direita em cm. Obrigatórios para BIVA específica.</x:v>
      </x:c>
    </x:row>
    <x:row r="11">
      <x:c r="A11" s="15" t="str">
        <x:v>Cor / Simbolo</x:v>
      </x:c>
      <x:c r="B11" s="16" t="str">
        <x:v>Opcionais. Cor hexadecimal e símbolo: circle, square, diamond ou triangle.</x:v>
      </x:c>
    </x:row>
    <x:row r="12">
      <x:c r="A12" s="17" t="str">
        <x:v>Colunas calculadas</x:v>
      </x:c>
      <x:c r="B12" s="18" t="str">
        <x:v>Não edite. Servem para conferência; o BIVA2 recalcula tudo durante a importação.</x:v>
      </x:c>
    </x:row>
    <x:row r="14">
      <x:c r="A14" s="21" t="str">
        <x:v>Cálculo clássico</x:v>
      </x:c>
      <x:c r="B14" s="22" t="str">
        <x:v>R/H = R ÷ H; Xc/H = Xc ÷ H (Ω/m).</x:v>
      </x:c>
    </x:row>
    <x:row r="15">
      <x:c r="A15" s="21" t="str">
        <x:v>Área específica</x:v>
      </x:c>
      <x:c r="B15" s="22" t="str">
        <x:v>A = 0.45·(braço²/4π) + 0.10·(cintura²/4π) + 0.45·(panturrilha²/4π), em cm².</x:v>
      </x:c>
    </x:row>
    <x:row r="16">
      <x:c r="A16" s="21" t="str">
        <x:v>Cálculo específico</x:v>
      </x:c>
      <x:c r="B16" s="22" t="str">
        <x:v>L = 1.1·H(cm); Rsp = R·A/L e Xcsp = Xc·A/L (Ω·cm).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22" hidden="0" customWidth="1"/>
    <x:col min="14" max="14" width="22" hidden="0" customWidth="1"/>
    <x:col min="15" max="15" width="22" hidden="0" customWidth="1"/>
    <x:col min="16" max="16" width="16" hidden="0" customWidth="1"/>
    <x:col min="17" max="17" width="16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</x:cols>
  <x:sheetData>
    <x:row r="1" ht="28" customHeight="1">
      <x:c r="A1" s="29" t="str">
        <x:v>Grupo</x:v>
      </x:c>
      <x:c r="B1" s="30" t="str">
        <x:v>N</x:v>
      </x:c>
      <x:c r="C1" s="30" t="str">
        <x:v>Participante</x:v>
      </x:c>
      <x:c r="D1" s="30" t="str">
        <x:v>Tempo</x:v>
      </x:c>
      <x:c r="E1" s="30" t="str">
        <x:v>R_ohm</x:v>
      </x:c>
      <x:c r="F1" s="30" t="str">
        <x:v>Xc_ohm</x:v>
      </x:c>
      <x:c r="G1" s="44" t="str">
        <x:v>H_m</x:v>
      </x:c>
      <x:c r="H1" s="44" t="str">
        <x:v>Braco_direito_cm</x:v>
      </x:c>
      <x:c r="I1" s="44" t="str">
        <x:v>Cintura_cm</x:v>
      </x:c>
      <x:c r="J1" s="44" t="str">
        <x:v>Panturrilha_direita_cm</x:v>
      </x:c>
      <x:c r="K1" s="30" t="str">
        <x:v>Sexo</x:v>
      </x:c>
      <x:c r="L1" s="30" t="str">
        <x:v>Idade</x:v>
      </x:c>
      <x:c r="M1" s="30" t="str">
        <x:v>Pais</x:v>
      </x:c>
      <x:c r="N1" s="30" t="str">
        <x:v>Equipamento</x:v>
      </x:c>
      <x:c r="O1" s="30" t="str">
        <x:v>Populacao</x:v>
      </x:c>
      <x:c r="P1" s="30" t="str">
        <x:v>Cor</x:v>
      </x:c>
      <x:c r="Q1" s="30" t="str">
        <x:v>Simbolo</x:v>
      </x:c>
      <x:c r="R1" s="30" t="str">
        <x:v>R_H</x:v>
      </x:c>
      <x:c r="S1" s="30" t="str">
        <x:v>Xc_H</x:v>
      </x:c>
      <x:c r="T1" s="30" t="str">
        <x:v>Area_corporal_cm2</x:v>
      </x:c>
      <x:c r="U1" s="30" t="str">
        <x:v>L_cm</x:v>
      </x:c>
      <x:c r="V1" s="30" t="str">
        <x:v>Rsp</x:v>
      </x:c>
      <x:c r="W1" s="31" t="str">
        <x:v>Xcsp</x:v>
      </x:c>
    </x:row>
    <x:row r="2">
      <x:c r="A2" s="32" t="str">
        <x:v>Grupo A</x:v>
      </x:c>
      <x:c r="B2" s="33" t="n">
        <x:v>3</x:v>
      </x:c>
      <x:c r="C2" s="34" t="str">
        <x:v>A01</x:v>
      </x:c>
      <x:c r="D2" s="34" t="str">
        <x:v>T1</x:v>
      </x:c>
      <x:c r="E2" s="35" t="n">
        <x:v>520</x:v>
      </x:c>
      <x:c r="F2" s="35" t="n">
        <x:v>55</x:v>
      </x:c>
      <x:c r="G2" s="35" t="n">
        <x:v>1.75</x:v>
      </x:c>
      <x:c r="H2" s="35" t="n">
        <x:v>31</x:v>
      </x:c>
      <x:c r="I2" s="35" t="n">
        <x:v>86</x:v>
      </x:c>
      <x:c r="J2" s="35" t="n">
        <x:v>38</x:v>
      </x:c>
      <x:c r="K2" s="34" t="str">
        <x:v>M</x:v>
      </x:c>
      <x:c r="L2" s="34" t="n">
        <x:v>34</x:v>
      </x:c>
      <x:c r="M2" s="34" t="str">
        <x:v>Brasil</x:v>
      </x:c>
      <x:c r="N2" s="34" t="str">
        <x:v>Exemplo 50 kHz</x:v>
      </x:c>
      <x:c r="O2" s="34" t="str">
        <x:v>Healthy</x:v>
      </x:c>
      <x:c r="P2" s="34" t="str">
        <x:v>#2F4FD6</x:v>
      </x:c>
      <x:c r="Q2" s="34" t="str">
        <x:v>circle</x:v>
      </x:c>
      <x:c r="R2" s="36" t="n">
        <x:f>IF(OR(E2="",G2=""),"",E2/G2)</x:f>
        <x:v>297.14285714285717</x:v>
      </x:c>
      <x:c r="S2" s="36" t="n">
        <x:f>IF(OR(F2="",G2=""),"",F2/G2)</x:f>
        <x:v>31.428571428571427</x:v>
      </x:c>
      <x:c r="T2" s="36" t="n">
        <x:f>IF(OR(H2="",I2="",J2=""),"",0.45*H2^2/(4*PI())+0.10*I2^2/(4*PI())+0.45*J2^2/(4*PI()))</x:f>
        <x:v>144.97821653598476</x:v>
      </x:c>
      <x:c r="U2" s="36" t="n">
        <x:f>IF(G2="","",1.1*G2*100)</x:f>
        <x:v>192.50000000000003</x:v>
      </x:c>
      <x:c r="V2" s="36" t="n">
        <x:f>IF(OR(E2="",T2="",U2=""),"",E2*T2/U2)</x:f>
        <x:v>391.62946804525745</x:v>
      </x:c>
      <x:c r="W2" s="37" t="n">
        <x:f>IF(OR(F2="",T2="",U2=""),"",F2*T2/U2)</x:f>
        <x:v>41.42234758170992</x:v>
      </x:c>
    </x:row>
    <x:row r="3">
      <x:c r="A3" s="32" t="str">
        <x:v>Grupo A</x:v>
      </x:c>
      <x:c r="B3" s="33" t="n">
        <x:v>3</x:v>
      </x:c>
      <x:c r="C3" s="34" t="str">
        <x:v>A02</x:v>
      </x:c>
      <x:c r="D3" s="34" t="str">
        <x:v>T1</x:v>
      </x:c>
      <x:c r="E3" s="35" t="n">
        <x:v>495</x:v>
      </x:c>
      <x:c r="F3" s="35" t="n">
        <x:v>52</x:v>
      </x:c>
      <x:c r="G3" s="35" t="n">
        <x:v>1.69</x:v>
      </x:c>
      <x:c r="H3" s="35" t="n">
        <x:v>29</x:v>
      </x:c>
      <x:c r="I3" s="35" t="n">
        <x:v>82</x:v>
      </x:c>
      <x:c r="J3" s="35" t="n">
        <x:v>36</x:v>
      </x:c>
      <x:c r="K3" s="34" t="str">
        <x:v>F</x:v>
      </x:c>
      <x:c r="L3" s="34" t="n">
        <x:v>31</x:v>
      </x:c>
      <x:c r="M3" s="34" t="str">
        <x:v>Brasil</x:v>
      </x:c>
      <x:c r="N3" s="34" t="str">
        <x:v>Exemplo 50 kHz</x:v>
      </x:c>
      <x:c r="O3" s="34" t="str">
        <x:v>Healthy</x:v>
      </x:c>
      <x:c r="P3" s="34" t="str">
        <x:v>#2F4FD6</x:v>
      </x:c>
      <x:c r="Q3" s="34" t="str">
        <x:v>circle</x:v>
      </x:c>
      <x:c r="R3" s="36" t="n">
        <x:f>IF(OR(E3="",G3=""),"",E3/G3)</x:f>
        <x:v>292.89940828402365</x:v>
      </x:c>
      <x:c r="S3" s="36" t="n">
        <x:f>IF(OR(F3="",G3=""),"",F3/G3)</x:f>
        <x:v>30.76923076923077</x:v>
      </x:c>
      <x:c r="T3" s="36" t="n">
        <x:f>IF(OR(H3="",I3="",J3=""),"",0.45*H3^2/(4*PI())+0.10*I3^2/(4*PI())+0.45*J3^2/(4*PI()))</x:f>
        <x:v>130.03356737965578</x:v>
      </x:c>
      <x:c r="U3" s="36" t="n">
        <x:f>IF(G3="","",1.1*G3*100)</x:f>
        <x:v>185.9</x:v>
      </x:c>
      <x:c r="V3" s="36" t="n">
        <x:f>IF(OR(E3="",T3="",U3=""),"",E3*T3/U3)</x:f>
        <x:v>346.2432267505627</x:v>
      </x:c>
      <x:c r="W3" s="37" t="n">
        <x:f>IF(OR(F3="",T3="",U3=""),"",F3*T3/U3)</x:f>
        <x:v>36.37302584046316</x:v>
      </x:c>
    </x:row>
    <x:row r="4">
      <x:c r="A4" s="32" t="str">
        <x:v>Grupo A</x:v>
      </x:c>
      <x:c r="B4" s="33" t="n">
        <x:v>3</x:v>
      </x:c>
      <x:c r="C4" s="34" t="str">
        <x:v>A03</x:v>
      </x:c>
      <x:c r="D4" s="34" t="str">
        <x:v>T1</x:v>
      </x:c>
      <x:c r="E4" s="35" t="n">
        <x:v>545</x:v>
      </x:c>
      <x:c r="F4" s="35" t="n">
        <x:v>59</x:v>
      </x:c>
      <x:c r="G4" s="35" t="n">
        <x:v>1.81</x:v>
      </x:c>
      <x:c r="H4" s="35" t="n">
        <x:v>32</x:v>
      </x:c>
      <x:c r="I4" s="35" t="n">
        <x:v>89</x:v>
      </x:c>
      <x:c r="J4" s="35" t="n">
        <x:v>39</x:v>
      </x:c>
      <x:c r="K4" s="34" t="str">
        <x:v>M</x:v>
      </x:c>
      <x:c r="L4" s="34" t="n">
        <x:v>38</x:v>
      </x:c>
      <x:c r="M4" s="34" t="str">
        <x:v>Brasil</x:v>
      </x:c>
      <x:c r="N4" s="34" t="str">
        <x:v>Exemplo 50 kHz</x:v>
      </x:c>
      <x:c r="O4" s="34" t="str">
        <x:v>Healthy</x:v>
      </x:c>
      <x:c r="P4" s="34" t="str">
        <x:v>#2F4FD6</x:v>
      </x:c>
      <x:c r="Q4" s="34" t="str">
        <x:v>circle</x:v>
      </x:c>
      <x:c r="R4" s="36" t="n">
        <x:f>IF(OR(E4="",G4=""),"",E4/G4)</x:f>
        <x:v>301.1049723756906</x:v>
      </x:c>
      <x:c r="S4" s="36" t="n">
        <x:f>IF(OR(F4="",G4=""),"",F4/G4)</x:f>
        <x:v>32.59668508287293</x:v>
      </x:c>
      <x:c r="T4" s="36" t="n">
        <x:f>IF(OR(H4="",I4="",J4=""),"",0.45*H4^2/(4*PI())+0.10*I4^2/(4*PI())+0.45*J4^2/(4*PI()))</x:f>
        <x:v>154.16941449954172</x:v>
      </x:c>
      <x:c r="U4" s="36" t="n">
        <x:f>IF(G4="","",1.1*G4*100)</x:f>
        <x:v>199.10000000000002</x:v>
      </x:c>
      <x:c r="V4" s="36" t="n">
        <x:f>IF(OR(E4="",T4="",U4=""),"",E4*T4/U4)</x:f>
        <x:v>422.0107026732809</x:v>
      </x:c>
      <x:c r="W4" s="37" t="n">
        <x:f>IF(OR(F4="",T4="",U4=""),"",F4*T4/U4)</x:f>
        <x:v>45.68556230774968</x:v>
      </x:c>
    </x:row>
    <x:row r="5">
      <x:c r="A5" s="32" t="str">
        <x:v>Grupo B</x:v>
      </x:c>
      <x:c r="B5" s="33" t="n">
        <x:v>3</x:v>
      </x:c>
      <x:c r="C5" s="34" t="str">
        <x:v>B01</x:v>
      </x:c>
      <x:c r="D5" s="34" t="str">
        <x:v>T1</x:v>
      </x:c>
      <x:c r="E5" s="35" t="n">
        <x:v>610</x:v>
      </x:c>
      <x:c r="F5" s="35" t="n">
        <x:v>48</x:v>
      </x:c>
      <x:c r="G5" s="35" t="n">
        <x:v>1.72</x:v>
      </x:c>
      <x:c r="H5" s="35" t="n">
        <x:v>34</x:v>
      </x:c>
      <x:c r="I5" s="35" t="n">
        <x:v>101</x:v>
      </x:c>
      <x:c r="J5" s="35" t="n">
        <x:v>40</x:v>
      </x:c>
      <x:c r="K5" s="34" t="str">
        <x:v>M</x:v>
      </x:c>
      <x:c r="L5" s="34" t="n">
        <x:v>58</x:v>
      </x:c>
      <x:c r="M5" s="34" t="str">
        <x:v>Brasil</x:v>
      </x:c>
      <x:c r="N5" s="34" t="str">
        <x:v>Exemplo 50 kHz</x:v>
      </x:c>
      <x:c r="O5" s="34" t="str">
        <x:v>Clinical</x:v>
      </x:c>
      <x:c r="P5" s="34" t="str">
        <x:v>#E0662A</x:v>
      </x:c>
      <x:c r="Q5" s="34" t="str">
        <x:v>square</x:v>
      </x:c>
      <x:c r="R5" s="36" t="n">
        <x:f>IF(OR(E5="",G5=""),"",E5/G5)</x:f>
        <x:v>354.6511627906977</x:v>
      </x:c>
      <x:c r="S5" s="36" t="n">
        <x:f>IF(OR(F5="",G5=""),"",F5/G5)</x:f>
        <x:v>27.906976744186046</x:v>
      </x:c>
      <x:c r="T5" s="36" t="n">
        <x:f>IF(OR(H5="",I5="",J5=""),"",0.45*H5^2/(4*PI())+0.10*I5^2/(4*PI())+0.45*J5^2/(4*PI()))</x:f>
        <x:v>179.86895893530553</x:v>
      </x:c>
      <x:c r="U5" s="36" t="n">
        <x:f>IF(G5="","",1.1*G5*100)</x:f>
        <x:v>189.20000000000002</x:v>
      </x:c>
      <x:c r="V5" s="36" t="n">
        <x:f>IF(OR(E5="",T5="",U5=""),"",E5*T5/U5)</x:f>
        <x:v>579.9157766941668</x:v>
      </x:c>
      <x:c r="W5" s="37" t="n">
        <x:f>IF(OR(F5="",T5="",U5=""),"",F5*T5/U5)</x:f>
        <x:v>45.63271685462296</x:v>
      </x:c>
    </x:row>
    <x:row r="6">
      <x:c r="A6" s="32" t="str">
        <x:v>Grupo B</x:v>
      </x:c>
      <x:c r="B6" s="33" t="n">
        <x:v>3</x:v>
      </x:c>
      <x:c r="C6" s="34" t="str">
        <x:v>B02</x:v>
      </x:c>
      <x:c r="D6" s="34" t="str">
        <x:v>T1</x:v>
      </x:c>
      <x:c r="E6" s="35" t="n">
        <x:v>585</x:v>
      </x:c>
      <x:c r="F6" s="35" t="n">
        <x:v>46</x:v>
      </x:c>
      <x:c r="G6" s="35" t="n">
        <x:v>1.66</x:v>
      </x:c>
      <x:c r="H6" s="35" t="n">
        <x:v>33</x:v>
      </x:c>
      <x:c r="I6" s="35" t="n">
        <x:v>98</x:v>
      </x:c>
      <x:c r="J6" s="35" t="n">
        <x:v>39</x:v>
      </x:c>
      <x:c r="K6" s="34" t="str">
        <x:v>F</x:v>
      </x:c>
      <x:c r="L6" s="34" t="n">
        <x:v>55</x:v>
      </x:c>
      <x:c r="M6" s="34" t="str">
        <x:v>Brasil</x:v>
      </x:c>
      <x:c r="N6" s="34" t="str">
        <x:v>Exemplo 50 kHz</x:v>
      </x:c>
      <x:c r="O6" s="34" t="str">
        <x:v>Clinical</x:v>
      </x:c>
      <x:c r="P6" s="34" t="str">
        <x:v>#E0662A</x:v>
      </x:c>
      <x:c r="Q6" s="34" t="str">
        <x:v>square</x:v>
      </x:c>
      <x:c r="R6" s="36" t="n">
        <x:f>IF(OR(E6="",G6=""),"",E6/G6)</x:f>
        <x:v>352.4096385542169</x:v>
      </x:c>
      <x:c r="S6" s="36" t="n">
        <x:f>IF(OR(F6="",G6=""),"",F6/G6)</x:f>
        <x:v>27.710843373493976</x:v>
      </x:c>
      <x:c r="T6" s="36" t="n">
        <x:f>IF(OR(H6="",I6="",J6=""),"",0.45*H6^2/(4*PI())+0.10*I6^2/(4*PI())+0.45*J6^2/(4*PI()))</x:f>
        <x:v>169.8899440034437</x:v>
      </x:c>
      <x:c r="U6" s="36" t="n">
        <x:f>IF(G6="","",1.1*G6*100)</x:f>
        <x:v>182.6</x:v>
      </x:c>
      <x:c r="V6" s="36" t="n">
        <x:f>IF(OR(E6="",T6="",U6=""),"",E6*T6/U6)</x:f>
        <x:v>544.2804887295431</x:v>
      </x:c>
      <x:c r="W6" s="37" t="n">
        <x:f>IF(OR(F6="",T6="",U6=""),"",F6*T6/U6)</x:f>
        <x:v>42.798123900100826</x:v>
      </x:c>
    </x:row>
    <x:row r="7">
      <x:c r="A7" s="32" t="str">
        <x:v>Grupo B</x:v>
      </x:c>
      <x:c r="B7" s="33" t="n">
        <x:v>3</x:v>
      </x:c>
      <x:c r="C7" s="34" t="str">
        <x:v>B03</x:v>
      </x:c>
      <x:c r="D7" s="34" t="str">
        <x:v>T1</x:v>
      </x:c>
      <x:c r="E7" s="35" t="n">
        <x:v>635</x:v>
      </x:c>
      <x:c r="F7" s="35" t="n">
        <x:v>51</x:v>
      </x:c>
      <x:c r="G7" s="35" t="n">
        <x:v>1.78</x:v>
      </x:c>
      <x:c r="H7" s="35" t="n">
        <x:v>35</x:v>
      </x:c>
      <x:c r="I7" s="35" t="n">
        <x:v>104</x:v>
      </x:c>
      <x:c r="J7" s="35" t="n">
        <x:v>41</x:v>
      </x:c>
      <x:c r="K7" s="34" t="str">
        <x:v>M</x:v>
      </x:c>
      <x:c r="L7" s="34" t="n">
        <x:v>62</x:v>
      </x:c>
      <x:c r="M7" s="34" t="str">
        <x:v>Brasil</x:v>
      </x:c>
      <x:c r="N7" s="34" t="str">
        <x:v>Exemplo 50 kHz</x:v>
      </x:c>
      <x:c r="O7" s="34" t="str">
        <x:v>Clinical</x:v>
      </x:c>
      <x:c r="P7" s="34" t="str">
        <x:v>#E0662A</x:v>
      </x:c>
      <x:c r="Q7" s="34" t="str">
        <x:v>square</x:v>
      </x:c>
      <x:c r="R7" s="36" t="n">
        <x:f>IF(OR(E7="",G7=""),"",E7/G7)</x:f>
        <x:v>356.7415730337079</x:v>
      </x:c>
      <x:c r="S7" s="36" t="n">
        <x:f>IF(OR(F7="",G7=""),"",F7/G7)</x:f>
        <x:v>28.651685393258425</x:v>
      </x:c>
      <x:c r="T7" s="36" t="n">
        <x:f>IF(OR(H7="",I7="",J7=""),"",0.45*H7^2/(4*PI())+0.10*I7^2/(4*PI())+0.45*J7^2/(4*PI()))</x:f>
        <x:v>190.1344527647328</x:v>
      </x:c>
      <x:c r="U7" s="36" t="n">
        <x:f>IF(G7="","",1.1*G7*100)</x:f>
        <x:v>195.8</x:v>
      </x:c>
      <x:c r="V7" s="36" t="n">
        <x:f>IF(OR(E7="",T7="",U7=""),"",E7*T7/U7)</x:f>
        <x:v>616.6260342472182</x:v>
      </x:c>
      <x:c r="W7" s="37" t="n">
        <x:f>IF(OR(F7="",T7="",U7=""),"",F7*T7/U7)</x:f>
        <x:v>49.52429566394981</x:v>
      </x:c>
    </x:row>
    <x:row r="8">
      <x:c r="A8" s="32"/>
      <x:c r="B8" s="33"/>
      <x:c r="C8" s="34"/>
      <x:c r="D8" s="34"/>
      <x:c r="E8" s="35"/>
      <x:c r="F8" s="35"/>
      <x:c r="G8" s="35"/>
      <x:c r="H8" s="35"/>
      <x:c r="I8" s="35"/>
      <x:c r="J8" s="35"/>
      <x:c r="K8" s="34"/>
      <x:c r="L8" s="34"/>
      <x:c r="M8" s="34"/>
      <x:c r="N8" s="34"/>
      <x:c r="O8" s="34"/>
      <x:c r="P8" s="34"/>
      <x:c r="Q8" s="34"/>
      <x:c r="R8" s="36" t="str">
        <x:f>IF(OR(E8="",G8=""),"",E8/G8)</x:f>
      </x:c>
      <x:c r="S8" s="36" t="str">
        <x:f>IF(OR(F8="",G8=""),"",F8/G8)</x:f>
      </x:c>
      <x:c r="T8" s="36" t="str">
        <x:f>IF(OR(H8="",I8="",J8=""),"",0.45*H8^2/(4*PI())+0.10*I8^2/(4*PI())+0.45*J8^2/(4*PI()))</x:f>
      </x:c>
      <x:c r="U8" s="36" t="str">
        <x:f>IF(G8="","",1.1*G8*100)</x:f>
      </x:c>
      <x:c r="V8" s="36" t="str">
        <x:f>IF(OR(E8="",T8="",U8=""),"",E8*T8/U8)</x:f>
      </x:c>
      <x:c r="W8" s="37" t="str">
        <x:f>IF(OR(F8="",T8="",U8=""),"",F8*T8/U8)</x:f>
      </x:c>
    </x:row>
    <x:row r="9">
      <x:c r="A9" s="32"/>
      <x:c r="B9" s="33"/>
      <x:c r="C9" s="34"/>
      <x:c r="D9" s="34"/>
      <x:c r="E9" s="35"/>
      <x:c r="F9" s="35"/>
      <x:c r="G9" s="35"/>
      <x:c r="H9" s="35"/>
      <x:c r="I9" s="35"/>
      <x:c r="J9" s="35"/>
      <x:c r="K9" s="34"/>
      <x:c r="L9" s="34"/>
      <x:c r="M9" s="34"/>
      <x:c r="N9" s="34"/>
      <x:c r="O9" s="34"/>
      <x:c r="P9" s="34"/>
      <x:c r="Q9" s="34"/>
      <x:c r="R9" s="36" t="str">
        <x:f>IF(OR(E9="",G9=""),"",E9/G9)</x:f>
      </x:c>
      <x:c r="S9" s="36" t="str">
        <x:f>IF(OR(F9="",G9=""),"",F9/G9)</x:f>
      </x:c>
      <x:c r="T9" s="36" t="str">
        <x:f>IF(OR(H9="",I9="",J9=""),"",0.45*H9^2/(4*PI())+0.10*I9^2/(4*PI())+0.45*J9^2/(4*PI()))</x:f>
      </x:c>
      <x:c r="U9" s="36" t="str">
        <x:f>IF(G9="","",1.1*G9*100)</x:f>
      </x:c>
      <x:c r="V9" s="36" t="str">
        <x:f>IF(OR(E9="",T9="",U9=""),"",E9*T9/U9)</x:f>
      </x:c>
      <x:c r="W9" s="37" t="str">
        <x:f>IF(OR(F9="",T9="",U9=""),"",F9*T9/U9)</x:f>
      </x:c>
    </x:row>
    <x:row r="10">
      <x:c r="A10" s="32"/>
      <x:c r="B10" s="33"/>
      <x:c r="C10" s="34"/>
      <x:c r="D10" s="34"/>
      <x:c r="E10" s="35"/>
      <x:c r="F10" s="35"/>
      <x:c r="G10" s="35"/>
      <x:c r="H10" s="35"/>
      <x:c r="I10" s="35"/>
      <x:c r="J10" s="35"/>
      <x:c r="K10" s="34"/>
      <x:c r="L10" s="34"/>
      <x:c r="M10" s="34"/>
      <x:c r="N10" s="34"/>
      <x:c r="O10" s="34"/>
      <x:c r="P10" s="34"/>
      <x:c r="Q10" s="34"/>
      <x:c r="R10" s="36" t="str">
        <x:f>IF(OR(E10="",G10=""),"",E10/G10)</x:f>
      </x:c>
      <x:c r="S10" s="36" t="str">
        <x:f>IF(OR(F10="",G10=""),"",F10/G10)</x:f>
      </x:c>
      <x:c r="T10" s="36" t="str">
        <x:f>IF(OR(H10="",I10="",J10=""),"",0.45*H10^2/(4*PI())+0.10*I10^2/(4*PI())+0.45*J10^2/(4*PI()))</x:f>
      </x:c>
      <x:c r="U10" s="36" t="str">
        <x:f>IF(G10="","",1.1*G10*100)</x:f>
      </x:c>
      <x:c r="V10" s="36" t="str">
        <x:f>IF(OR(E10="",T10="",U10=""),"",E10*T10/U10)</x:f>
      </x:c>
      <x:c r="W10" s="37" t="str">
        <x:f>IF(OR(F10="",T10="",U10=""),"",F10*T10/U10)</x:f>
      </x:c>
    </x:row>
    <x:row r="11">
      <x:c r="A11" s="32"/>
      <x:c r="B11" s="33"/>
      <x:c r="C11" s="34"/>
      <x:c r="D11" s="34"/>
      <x:c r="E11" s="35"/>
      <x:c r="F11" s="35"/>
      <x:c r="G11" s="35"/>
      <x:c r="H11" s="35"/>
      <x:c r="I11" s="35"/>
      <x:c r="J11" s="35"/>
      <x:c r="K11" s="34"/>
      <x:c r="L11" s="34"/>
      <x:c r="M11" s="34"/>
      <x:c r="N11" s="34"/>
      <x:c r="O11" s="34"/>
      <x:c r="P11" s="34"/>
      <x:c r="Q11" s="34"/>
      <x:c r="R11" s="36" t="str">
        <x:f>IF(OR(E11="",G11=""),"",E11/G11)</x:f>
      </x:c>
      <x:c r="S11" s="36" t="str">
        <x:f>IF(OR(F11="",G11=""),"",F11/G11)</x:f>
      </x:c>
      <x:c r="T11" s="36" t="str">
        <x:f>IF(OR(H11="",I11="",J11=""),"",0.45*H11^2/(4*PI())+0.10*I11^2/(4*PI())+0.45*J11^2/(4*PI()))</x:f>
      </x:c>
      <x:c r="U11" s="36" t="str">
        <x:f>IF(G11="","",1.1*G11*100)</x:f>
      </x:c>
      <x:c r="V11" s="36" t="str">
        <x:f>IF(OR(E11="",T11="",U11=""),"",E11*T11/U11)</x:f>
      </x:c>
      <x:c r="W11" s="37" t="str">
        <x:f>IF(OR(F11="",T11="",U11=""),"",F11*T11/U11)</x:f>
      </x:c>
    </x:row>
    <x:row r="12">
      <x:c r="A12" s="32"/>
      <x:c r="B12" s="33"/>
      <x:c r="C12" s="34"/>
      <x:c r="D12" s="34"/>
      <x:c r="E12" s="35"/>
      <x:c r="F12" s="35"/>
      <x:c r="G12" s="35"/>
      <x:c r="H12" s="35"/>
      <x:c r="I12" s="35"/>
      <x:c r="J12" s="35"/>
      <x:c r="K12" s="34"/>
      <x:c r="L12" s="34"/>
      <x:c r="M12" s="34"/>
      <x:c r="N12" s="34"/>
      <x:c r="O12" s="34"/>
      <x:c r="P12" s="34"/>
      <x:c r="Q12" s="34"/>
      <x:c r="R12" s="36" t="str">
        <x:f>IF(OR(E12="",G12=""),"",E12/G12)</x:f>
      </x:c>
      <x:c r="S12" s="36" t="str">
        <x:f>IF(OR(F12="",G12=""),"",F12/G12)</x:f>
      </x:c>
      <x:c r="T12" s="36" t="str">
        <x:f>IF(OR(H12="",I12="",J12=""),"",0.45*H12^2/(4*PI())+0.10*I12^2/(4*PI())+0.45*J12^2/(4*PI()))</x:f>
      </x:c>
      <x:c r="U12" s="36" t="str">
        <x:f>IF(G12="","",1.1*G12*100)</x:f>
      </x:c>
      <x:c r="V12" s="36" t="str">
        <x:f>IF(OR(E12="",T12="",U12=""),"",E12*T12/U12)</x:f>
      </x:c>
      <x:c r="W12" s="37" t="str">
        <x:f>IF(OR(F12="",T12="",U12=""),"",F12*T12/U12)</x:f>
      </x:c>
    </x:row>
    <x:row r="13">
      <x:c r="A13" s="32"/>
      <x:c r="B13" s="33"/>
      <x:c r="C13" s="34"/>
      <x:c r="D13" s="34"/>
      <x:c r="E13" s="35"/>
      <x:c r="F13" s="35"/>
      <x:c r="G13" s="35"/>
      <x:c r="H13" s="35"/>
      <x:c r="I13" s="35"/>
      <x:c r="J13" s="35"/>
      <x:c r="K13" s="34"/>
      <x:c r="L13" s="34"/>
      <x:c r="M13" s="34"/>
      <x:c r="N13" s="34"/>
      <x:c r="O13" s="34"/>
      <x:c r="P13" s="34"/>
      <x:c r="Q13" s="34"/>
      <x:c r="R13" s="36" t="str">
        <x:f>IF(OR(E13="",G13=""),"",E13/G13)</x:f>
      </x:c>
      <x:c r="S13" s="36" t="str">
        <x:f>IF(OR(F13="",G13=""),"",F13/G13)</x:f>
      </x:c>
      <x:c r="T13" s="36" t="str">
        <x:f>IF(OR(H13="",I13="",J13=""),"",0.45*H13^2/(4*PI())+0.10*I13^2/(4*PI())+0.45*J13^2/(4*PI()))</x:f>
      </x:c>
      <x:c r="U13" s="36" t="str">
        <x:f>IF(G13="","",1.1*G13*100)</x:f>
      </x:c>
      <x:c r="V13" s="36" t="str">
        <x:f>IF(OR(E13="",T13="",U13=""),"",E13*T13/U13)</x:f>
      </x:c>
      <x:c r="W13" s="37" t="str">
        <x:f>IF(OR(F13="",T13="",U13=""),"",F13*T13/U13)</x:f>
      </x:c>
    </x:row>
    <x:row r="14">
      <x:c r="A14" s="32"/>
      <x:c r="B14" s="33"/>
      <x:c r="C14" s="34"/>
      <x:c r="D14" s="34"/>
      <x:c r="E14" s="35"/>
      <x:c r="F14" s="35"/>
      <x:c r="G14" s="35"/>
      <x:c r="H14" s="35"/>
      <x:c r="I14" s="35"/>
      <x:c r="J14" s="35"/>
      <x:c r="K14" s="34"/>
      <x:c r="L14" s="34"/>
      <x:c r="M14" s="34"/>
      <x:c r="N14" s="34"/>
      <x:c r="O14" s="34"/>
      <x:c r="P14" s="34"/>
      <x:c r="Q14" s="34"/>
      <x:c r="R14" s="36" t="str">
        <x:f>IF(OR(E14="",G14=""),"",E14/G14)</x:f>
      </x:c>
      <x:c r="S14" s="36" t="str">
        <x:f>IF(OR(F14="",G14=""),"",F14/G14)</x:f>
      </x:c>
      <x:c r="T14" s="36" t="str">
        <x:f>IF(OR(H14="",I14="",J14=""),"",0.45*H14^2/(4*PI())+0.10*I14^2/(4*PI())+0.45*J14^2/(4*PI()))</x:f>
      </x:c>
      <x:c r="U14" s="36" t="str">
        <x:f>IF(G14="","",1.1*G14*100)</x:f>
      </x:c>
      <x:c r="V14" s="36" t="str">
        <x:f>IF(OR(E14="",T14="",U14=""),"",E14*T14/U14)</x:f>
      </x:c>
      <x:c r="W14" s="37" t="str">
        <x:f>IF(OR(F14="",T14="",U14=""),"",F14*T14/U14)</x:f>
      </x:c>
    </x:row>
    <x:row r="15">
      <x:c r="A15" s="32"/>
      <x:c r="B15" s="33"/>
      <x:c r="C15" s="34"/>
      <x:c r="D15" s="34"/>
      <x:c r="E15" s="35"/>
      <x:c r="F15" s="35"/>
      <x:c r="G15" s="35"/>
      <x:c r="H15" s="35"/>
      <x:c r="I15" s="35"/>
      <x:c r="J15" s="35"/>
      <x:c r="K15" s="34"/>
      <x:c r="L15" s="34"/>
      <x:c r="M15" s="34"/>
      <x:c r="N15" s="34"/>
      <x:c r="O15" s="34"/>
      <x:c r="P15" s="34"/>
      <x:c r="Q15" s="34"/>
      <x:c r="R15" s="36" t="str">
        <x:f>IF(OR(E15="",G15=""),"",E15/G15)</x:f>
      </x:c>
      <x:c r="S15" s="36" t="str">
        <x:f>IF(OR(F15="",G15=""),"",F15/G15)</x:f>
      </x:c>
      <x:c r="T15" s="36" t="str">
        <x:f>IF(OR(H15="",I15="",J15=""),"",0.45*H15^2/(4*PI())+0.10*I15^2/(4*PI())+0.45*J15^2/(4*PI()))</x:f>
      </x:c>
      <x:c r="U15" s="36" t="str">
        <x:f>IF(G15="","",1.1*G15*100)</x:f>
      </x:c>
      <x:c r="V15" s="36" t="str">
        <x:f>IF(OR(E15="",T15="",U15=""),"",E15*T15/U15)</x:f>
      </x:c>
      <x:c r="W15" s="37" t="str">
        <x:f>IF(OR(F15="",T15="",U15=""),"",F15*T15/U15)</x:f>
      </x:c>
    </x:row>
    <x:row r="16">
      <x:c r="A16" s="32"/>
      <x:c r="B16" s="33"/>
      <x:c r="C16" s="34"/>
      <x:c r="D16" s="34"/>
      <x:c r="E16" s="35"/>
      <x:c r="F16" s="35"/>
      <x:c r="G16" s="35"/>
      <x:c r="H16" s="35"/>
      <x:c r="I16" s="35"/>
      <x:c r="J16" s="35"/>
      <x:c r="K16" s="34"/>
      <x:c r="L16" s="34"/>
      <x:c r="M16" s="34"/>
      <x:c r="N16" s="34"/>
      <x:c r="O16" s="34"/>
      <x:c r="P16" s="34"/>
      <x:c r="Q16" s="34"/>
      <x:c r="R16" s="36" t="str">
        <x:f>IF(OR(E16="",G16=""),"",E16/G16)</x:f>
      </x:c>
      <x:c r="S16" s="36" t="str">
        <x:f>IF(OR(F16="",G16=""),"",F16/G16)</x:f>
      </x:c>
      <x:c r="T16" s="36" t="str">
        <x:f>IF(OR(H16="",I16="",J16=""),"",0.45*H16^2/(4*PI())+0.10*I16^2/(4*PI())+0.45*J16^2/(4*PI()))</x:f>
      </x:c>
      <x:c r="U16" s="36" t="str">
        <x:f>IF(G16="","",1.1*G16*100)</x:f>
      </x:c>
      <x:c r="V16" s="36" t="str">
        <x:f>IF(OR(E16="",T16="",U16=""),"",E16*T16/U16)</x:f>
      </x:c>
      <x:c r="W16" s="37" t="str">
        <x:f>IF(OR(F16="",T16="",U16=""),"",F16*T16/U16)</x:f>
      </x:c>
    </x:row>
    <x:row r="17">
      <x:c r="A17" s="32"/>
      <x:c r="B17" s="33"/>
      <x:c r="C17" s="34"/>
      <x:c r="D17" s="34"/>
      <x:c r="E17" s="35"/>
      <x:c r="F17" s="35"/>
      <x:c r="G17" s="35"/>
      <x:c r="H17" s="35"/>
      <x:c r="I17" s="35"/>
      <x:c r="J17" s="35"/>
      <x:c r="K17" s="34"/>
      <x:c r="L17" s="34"/>
      <x:c r="M17" s="34"/>
      <x:c r="N17" s="34"/>
      <x:c r="O17" s="34"/>
      <x:c r="P17" s="34"/>
      <x:c r="Q17" s="34"/>
      <x:c r="R17" s="36" t="str">
        <x:f>IF(OR(E17="",G17=""),"",E17/G17)</x:f>
      </x:c>
      <x:c r="S17" s="36" t="str">
        <x:f>IF(OR(F17="",G17=""),"",F17/G17)</x:f>
      </x:c>
      <x:c r="T17" s="36" t="str">
        <x:f>IF(OR(H17="",I17="",J17=""),"",0.45*H17^2/(4*PI())+0.10*I17^2/(4*PI())+0.45*J17^2/(4*PI()))</x:f>
      </x:c>
      <x:c r="U17" s="36" t="str">
        <x:f>IF(G17="","",1.1*G17*100)</x:f>
      </x:c>
      <x:c r="V17" s="36" t="str">
        <x:f>IF(OR(E17="",T17="",U17=""),"",E17*T17/U17)</x:f>
      </x:c>
      <x:c r="W17" s="37" t="str">
        <x:f>IF(OR(F17="",T17="",U17=""),"",F17*T17/U17)</x:f>
      </x:c>
    </x:row>
    <x:row r="18">
      <x:c r="A18" s="32"/>
      <x:c r="B18" s="33"/>
      <x:c r="C18" s="34"/>
      <x:c r="D18" s="34"/>
      <x:c r="E18" s="35"/>
      <x:c r="F18" s="35"/>
      <x:c r="G18" s="35"/>
      <x:c r="H18" s="35"/>
      <x:c r="I18" s="35"/>
      <x:c r="J18" s="35"/>
      <x:c r="K18" s="34"/>
      <x:c r="L18" s="34"/>
      <x:c r="M18" s="34"/>
      <x:c r="N18" s="34"/>
      <x:c r="O18" s="34"/>
      <x:c r="P18" s="34"/>
      <x:c r="Q18" s="34"/>
      <x:c r="R18" s="36" t="str">
        <x:f>IF(OR(E18="",G18=""),"",E18/G18)</x:f>
      </x:c>
      <x:c r="S18" s="36" t="str">
        <x:f>IF(OR(F18="",G18=""),"",F18/G18)</x:f>
      </x:c>
      <x:c r="T18" s="36" t="str">
        <x:f>IF(OR(H18="",I18="",J18=""),"",0.45*H18^2/(4*PI())+0.10*I18^2/(4*PI())+0.45*J18^2/(4*PI()))</x:f>
      </x:c>
      <x:c r="U18" s="36" t="str">
        <x:f>IF(G18="","",1.1*G18*100)</x:f>
      </x:c>
      <x:c r="V18" s="36" t="str">
        <x:f>IF(OR(E18="",T18="",U18=""),"",E18*T18/U18)</x:f>
      </x:c>
      <x:c r="W18" s="37" t="str">
        <x:f>IF(OR(F18="",T18="",U18=""),"",F18*T18/U18)</x:f>
      </x:c>
    </x:row>
    <x:row r="19">
      <x:c r="A19" s="32"/>
      <x:c r="B19" s="33"/>
      <x:c r="C19" s="34"/>
      <x:c r="D19" s="34"/>
      <x:c r="E19" s="35"/>
      <x:c r="F19" s="35"/>
      <x:c r="G19" s="35"/>
      <x:c r="H19" s="35"/>
      <x:c r="I19" s="35"/>
      <x:c r="J19" s="35"/>
      <x:c r="K19" s="34"/>
      <x:c r="L19" s="34"/>
      <x:c r="M19" s="34"/>
      <x:c r="N19" s="34"/>
      <x:c r="O19" s="34"/>
      <x:c r="P19" s="34"/>
      <x:c r="Q19" s="34"/>
      <x:c r="R19" s="36" t="str">
        <x:f>IF(OR(E19="",G19=""),"",E19/G19)</x:f>
      </x:c>
      <x:c r="S19" s="36" t="str">
        <x:f>IF(OR(F19="",G19=""),"",F19/G19)</x:f>
      </x:c>
      <x:c r="T19" s="36" t="str">
        <x:f>IF(OR(H19="",I19="",J19=""),"",0.45*H19^2/(4*PI())+0.10*I19^2/(4*PI())+0.45*J19^2/(4*PI()))</x:f>
      </x:c>
      <x:c r="U19" s="36" t="str">
        <x:f>IF(G19="","",1.1*G19*100)</x:f>
      </x:c>
      <x:c r="V19" s="36" t="str">
        <x:f>IF(OR(E19="",T19="",U19=""),"",E19*T19/U19)</x:f>
      </x:c>
      <x:c r="W19" s="37" t="str">
        <x:f>IF(OR(F19="",T19="",U19=""),"",F19*T19/U19)</x:f>
      </x:c>
    </x:row>
    <x:row r="20">
      <x:c r="A20" s="32"/>
      <x:c r="B20" s="33"/>
      <x:c r="C20" s="34"/>
      <x:c r="D20" s="34"/>
      <x:c r="E20" s="35"/>
      <x:c r="F20" s="35"/>
      <x:c r="G20" s="35"/>
      <x:c r="H20" s="35"/>
      <x:c r="I20" s="35"/>
      <x:c r="J20" s="35"/>
      <x:c r="K20" s="34"/>
      <x:c r="L20" s="34"/>
      <x:c r="M20" s="34"/>
      <x:c r="N20" s="34"/>
      <x:c r="O20" s="34"/>
      <x:c r="P20" s="34"/>
      <x:c r="Q20" s="34"/>
      <x:c r="R20" s="36" t="str">
        <x:f>IF(OR(E20="",G20=""),"",E20/G20)</x:f>
      </x:c>
      <x:c r="S20" s="36" t="str">
        <x:f>IF(OR(F20="",G20=""),"",F20/G20)</x:f>
      </x:c>
      <x:c r="T20" s="36" t="str">
        <x:f>IF(OR(H20="",I20="",J20=""),"",0.45*H20^2/(4*PI())+0.10*I20^2/(4*PI())+0.45*J20^2/(4*PI()))</x:f>
      </x:c>
      <x:c r="U20" s="36" t="str">
        <x:f>IF(G20="","",1.1*G20*100)</x:f>
      </x:c>
      <x:c r="V20" s="36" t="str">
        <x:f>IF(OR(E20="",T20="",U20=""),"",E20*T20/U20)</x:f>
      </x:c>
      <x:c r="W20" s="37" t="str">
        <x:f>IF(OR(F20="",T20="",U20=""),"",F20*T20/U20)</x:f>
      </x:c>
    </x:row>
    <x:row r="21">
      <x:c r="A21" s="32"/>
      <x:c r="B21" s="33"/>
      <x:c r="C21" s="34"/>
      <x:c r="D21" s="34"/>
      <x:c r="E21" s="35"/>
      <x:c r="F21" s="35"/>
      <x:c r="G21" s="35"/>
      <x:c r="H21" s="35"/>
      <x:c r="I21" s="35"/>
      <x:c r="J21" s="35"/>
      <x:c r="K21" s="34"/>
      <x:c r="L21" s="34"/>
      <x:c r="M21" s="34"/>
      <x:c r="N21" s="34"/>
      <x:c r="O21" s="34"/>
      <x:c r="P21" s="34"/>
      <x:c r="Q21" s="34"/>
      <x:c r="R21" s="36" t="str">
        <x:f>IF(OR(E21="",G21=""),"",E21/G21)</x:f>
      </x:c>
      <x:c r="S21" s="36" t="str">
        <x:f>IF(OR(F21="",G21=""),"",F21/G21)</x:f>
      </x:c>
      <x:c r="T21" s="36" t="str">
        <x:f>IF(OR(H21="",I21="",J21=""),"",0.45*H21^2/(4*PI())+0.10*I21^2/(4*PI())+0.45*J21^2/(4*PI()))</x:f>
      </x:c>
      <x:c r="U21" s="36" t="str">
        <x:f>IF(G21="","",1.1*G21*100)</x:f>
      </x:c>
      <x:c r="V21" s="36" t="str">
        <x:f>IF(OR(E21="",T21="",U21=""),"",E21*T21/U21)</x:f>
      </x:c>
      <x:c r="W21" s="37" t="str">
        <x:f>IF(OR(F21="",T21="",U21=""),"",F21*T21/U21)</x:f>
      </x:c>
    </x:row>
    <x:row r="22">
      <x:c r="A22" s="32"/>
      <x:c r="B22" s="33"/>
      <x:c r="C22" s="34"/>
      <x:c r="D22" s="34"/>
      <x:c r="E22" s="35"/>
      <x:c r="F22" s="35"/>
      <x:c r="G22" s="35"/>
      <x:c r="H22" s="35"/>
      <x:c r="I22" s="35"/>
      <x:c r="J22" s="35"/>
      <x:c r="K22" s="34"/>
      <x:c r="L22" s="34"/>
      <x:c r="M22" s="34"/>
      <x:c r="N22" s="34"/>
      <x:c r="O22" s="34"/>
      <x:c r="P22" s="34"/>
      <x:c r="Q22" s="34"/>
      <x:c r="R22" s="36" t="str">
        <x:f>IF(OR(E22="",G22=""),"",E22/G22)</x:f>
      </x:c>
      <x:c r="S22" s="36" t="str">
        <x:f>IF(OR(F22="",G22=""),"",F22/G22)</x:f>
      </x:c>
      <x:c r="T22" s="36" t="str">
        <x:f>IF(OR(H22="",I22="",J22=""),"",0.45*H22^2/(4*PI())+0.10*I22^2/(4*PI())+0.45*J22^2/(4*PI()))</x:f>
      </x:c>
      <x:c r="U22" s="36" t="str">
        <x:f>IF(G22="","",1.1*G22*100)</x:f>
      </x:c>
      <x:c r="V22" s="36" t="str">
        <x:f>IF(OR(E22="",T22="",U22=""),"",E22*T22/U22)</x:f>
      </x:c>
      <x:c r="W22" s="37" t="str">
        <x:f>IF(OR(F22="",T22="",U22=""),"",F22*T22/U22)</x:f>
      </x:c>
    </x:row>
    <x:row r="23">
      <x:c r="A23" s="32"/>
      <x:c r="B23" s="33"/>
      <x:c r="C23" s="34"/>
      <x:c r="D23" s="34"/>
      <x:c r="E23" s="35"/>
      <x:c r="F23" s="35"/>
      <x:c r="G23" s="35"/>
      <x:c r="H23" s="35"/>
      <x:c r="I23" s="35"/>
      <x:c r="J23" s="35"/>
      <x:c r="K23" s="34"/>
      <x:c r="L23" s="34"/>
      <x:c r="M23" s="34"/>
      <x:c r="N23" s="34"/>
      <x:c r="O23" s="34"/>
      <x:c r="P23" s="34"/>
      <x:c r="Q23" s="34"/>
      <x:c r="R23" s="36" t="str">
        <x:f>IF(OR(E23="",G23=""),"",E23/G23)</x:f>
      </x:c>
      <x:c r="S23" s="36" t="str">
        <x:f>IF(OR(F23="",G23=""),"",F23/G23)</x:f>
      </x:c>
      <x:c r="T23" s="36" t="str">
        <x:f>IF(OR(H23="",I23="",J23=""),"",0.45*H23^2/(4*PI())+0.10*I23^2/(4*PI())+0.45*J23^2/(4*PI()))</x:f>
      </x:c>
      <x:c r="U23" s="36" t="str">
        <x:f>IF(G23="","",1.1*G23*100)</x:f>
      </x:c>
      <x:c r="V23" s="36" t="str">
        <x:f>IF(OR(E23="",T23="",U23=""),"",E23*T23/U23)</x:f>
      </x:c>
      <x:c r="W23" s="37" t="str">
        <x:f>IF(OR(F23="",T23="",U23=""),"",F23*T23/U23)</x:f>
      </x:c>
    </x:row>
    <x:row r="24">
      <x:c r="A24" s="32"/>
      <x:c r="B24" s="33"/>
      <x:c r="C24" s="34"/>
      <x:c r="D24" s="34"/>
      <x:c r="E24" s="35"/>
      <x:c r="F24" s="35"/>
      <x:c r="G24" s="35"/>
      <x:c r="H24" s="35"/>
      <x:c r="I24" s="35"/>
      <x:c r="J24" s="35"/>
      <x:c r="K24" s="34"/>
      <x:c r="L24" s="34"/>
      <x:c r="M24" s="34"/>
      <x:c r="N24" s="34"/>
      <x:c r="O24" s="34"/>
      <x:c r="P24" s="34"/>
      <x:c r="Q24" s="34"/>
      <x:c r="R24" s="36" t="str">
        <x:f>IF(OR(E24="",G24=""),"",E24/G24)</x:f>
      </x:c>
      <x:c r="S24" s="36" t="str">
        <x:f>IF(OR(F24="",G24=""),"",F24/G24)</x:f>
      </x:c>
      <x:c r="T24" s="36" t="str">
        <x:f>IF(OR(H24="",I24="",J24=""),"",0.45*H24^2/(4*PI())+0.10*I24^2/(4*PI())+0.45*J24^2/(4*PI()))</x:f>
      </x:c>
      <x:c r="U24" s="36" t="str">
        <x:f>IF(G24="","",1.1*G24*100)</x:f>
      </x:c>
      <x:c r="V24" s="36" t="str">
        <x:f>IF(OR(E24="",T24="",U24=""),"",E24*T24/U24)</x:f>
      </x:c>
      <x:c r="W24" s="37" t="str">
        <x:f>IF(OR(F24="",T24="",U24=""),"",F24*T24/U24)</x:f>
      </x:c>
    </x:row>
    <x:row r="25">
      <x:c r="A25" s="32"/>
      <x:c r="B25" s="33"/>
      <x:c r="C25" s="34"/>
      <x:c r="D25" s="34"/>
      <x:c r="E25" s="35"/>
      <x:c r="F25" s="35"/>
      <x:c r="G25" s="35"/>
      <x:c r="H25" s="35"/>
      <x:c r="I25" s="35"/>
      <x:c r="J25" s="35"/>
      <x:c r="K25" s="34"/>
      <x:c r="L25" s="34"/>
      <x:c r="M25" s="34"/>
      <x:c r="N25" s="34"/>
      <x:c r="O25" s="34"/>
      <x:c r="P25" s="34"/>
      <x:c r="Q25" s="34"/>
      <x:c r="R25" s="36" t="str">
        <x:f>IF(OR(E25="",G25=""),"",E25/G25)</x:f>
      </x:c>
      <x:c r="S25" s="36" t="str">
        <x:f>IF(OR(F25="",G25=""),"",F25/G25)</x:f>
      </x:c>
      <x:c r="T25" s="36" t="str">
        <x:f>IF(OR(H25="",I25="",J25=""),"",0.45*H25^2/(4*PI())+0.10*I25^2/(4*PI())+0.45*J25^2/(4*PI()))</x:f>
      </x:c>
      <x:c r="U25" s="36" t="str">
        <x:f>IF(G25="","",1.1*G25*100)</x:f>
      </x:c>
      <x:c r="V25" s="36" t="str">
        <x:f>IF(OR(E25="",T25="",U25=""),"",E25*T25/U25)</x:f>
      </x:c>
      <x:c r="W25" s="37" t="str">
        <x:f>IF(OR(F25="",T25="",U25=""),"",F25*T25/U25)</x:f>
      </x:c>
    </x:row>
    <x:row r="26">
      <x:c r="A26" s="32"/>
      <x:c r="B26" s="33"/>
      <x:c r="C26" s="34"/>
      <x:c r="D26" s="34"/>
      <x:c r="E26" s="35"/>
      <x:c r="F26" s="35"/>
      <x:c r="G26" s="35"/>
      <x:c r="H26" s="35"/>
      <x:c r="I26" s="35"/>
      <x:c r="J26" s="35"/>
      <x:c r="K26" s="34"/>
      <x:c r="L26" s="34"/>
      <x:c r="M26" s="34"/>
      <x:c r="N26" s="34"/>
      <x:c r="O26" s="34"/>
      <x:c r="P26" s="34"/>
      <x:c r="Q26" s="34"/>
      <x:c r="R26" s="36" t="str">
        <x:f>IF(OR(E26="",G26=""),"",E26/G26)</x:f>
      </x:c>
      <x:c r="S26" s="36" t="str">
        <x:f>IF(OR(F26="",G26=""),"",F26/G26)</x:f>
      </x:c>
      <x:c r="T26" s="36" t="str">
        <x:f>IF(OR(H26="",I26="",J26=""),"",0.45*H26^2/(4*PI())+0.10*I26^2/(4*PI())+0.45*J26^2/(4*PI()))</x:f>
      </x:c>
      <x:c r="U26" s="36" t="str">
        <x:f>IF(G26="","",1.1*G26*100)</x:f>
      </x:c>
      <x:c r="V26" s="36" t="str">
        <x:f>IF(OR(E26="",T26="",U26=""),"",E26*T26/U26)</x:f>
      </x:c>
      <x:c r="W26" s="37" t="str">
        <x:f>IF(OR(F26="",T26="",U26=""),"",F26*T26/U26)</x:f>
      </x:c>
    </x:row>
    <x:row r="27">
      <x:c r="A27" s="32"/>
      <x:c r="B27" s="33"/>
      <x:c r="C27" s="34"/>
      <x:c r="D27" s="34"/>
      <x:c r="E27" s="35"/>
      <x:c r="F27" s="35"/>
      <x:c r="G27" s="35"/>
      <x:c r="H27" s="35"/>
      <x:c r="I27" s="35"/>
      <x:c r="J27" s="35"/>
      <x:c r="K27" s="34"/>
      <x:c r="L27" s="34"/>
      <x:c r="M27" s="34"/>
      <x:c r="N27" s="34"/>
      <x:c r="O27" s="34"/>
      <x:c r="P27" s="34"/>
      <x:c r="Q27" s="34"/>
      <x:c r="R27" s="36" t="str">
        <x:f>IF(OR(E27="",G27=""),"",E27/G27)</x:f>
      </x:c>
      <x:c r="S27" s="36" t="str">
        <x:f>IF(OR(F27="",G27=""),"",F27/G27)</x:f>
      </x:c>
      <x:c r="T27" s="36" t="str">
        <x:f>IF(OR(H27="",I27="",J27=""),"",0.45*H27^2/(4*PI())+0.10*I27^2/(4*PI())+0.45*J27^2/(4*PI()))</x:f>
      </x:c>
      <x:c r="U27" s="36" t="str">
        <x:f>IF(G27="","",1.1*G27*100)</x:f>
      </x:c>
      <x:c r="V27" s="36" t="str">
        <x:f>IF(OR(E27="",T27="",U27=""),"",E27*T27/U27)</x:f>
      </x:c>
      <x:c r="W27" s="37" t="str">
        <x:f>IF(OR(F27="",T27="",U27=""),"",F27*T27/U27)</x:f>
      </x:c>
    </x:row>
    <x:row r="28">
      <x:c r="A28" s="32"/>
      <x:c r="B28" s="33"/>
      <x:c r="C28" s="34"/>
      <x:c r="D28" s="34"/>
      <x:c r="E28" s="35"/>
      <x:c r="F28" s="35"/>
      <x:c r="G28" s="35"/>
      <x:c r="H28" s="35"/>
      <x:c r="I28" s="35"/>
      <x:c r="J28" s="35"/>
      <x:c r="K28" s="34"/>
      <x:c r="L28" s="34"/>
      <x:c r="M28" s="34"/>
      <x:c r="N28" s="34"/>
      <x:c r="O28" s="34"/>
      <x:c r="P28" s="34"/>
      <x:c r="Q28" s="34"/>
      <x:c r="R28" s="36" t="str">
        <x:f>IF(OR(E28="",G28=""),"",E28/G28)</x:f>
      </x:c>
      <x:c r="S28" s="36" t="str">
        <x:f>IF(OR(F28="",G28=""),"",F28/G28)</x:f>
      </x:c>
      <x:c r="T28" s="36" t="str">
        <x:f>IF(OR(H28="",I28="",J28=""),"",0.45*H28^2/(4*PI())+0.10*I28^2/(4*PI())+0.45*J28^2/(4*PI()))</x:f>
      </x:c>
      <x:c r="U28" s="36" t="str">
        <x:f>IF(G28="","",1.1*G28*100)</x:f>
      </x:c>
      <x:c r="V28" s="36" t="str">
        <x:f>IF(OR(E28="",T28="",U28=""),"",E28*T28/U28)</x:f>
      </x:c>
      <x:c r="W28" s="37" t="str">
        <x:f>IF(OR(F28="",T28="",U28=""),"",F28*T28/U28)</x:f>
      </x:c>
    </x:row>
    <x:row r="29">
      <x:c r="A29" s="32"/>
      <x:c r="B29" s="33"/>
      <x:c r="C29" s="34"/>
      <x:c r="D29" s="34"/>
      <x:c r="E29" s="35"/>
      <x:c r="F29" s="35"/>
      <x:c r="G29" s="35"/>
      <x:c r="H29" s="35"/>
      <x:c r="I29" s="35"/>
      <x:c r="J29" s="35"/>
      <x:c r="K29" s="34"/>
      <x:c r="L29" s="34"/>
      <x:c r="M29" s="34"/>
      <x:c r="N29" s="34"/>
      <x:c r="O29" s="34"/>
      <x:c r="P29" s="34"/>
      <x:c r="Q29" s="34"/>
      <x:c r="R29" s="36" t="str">
        <x:f>IF(OR(E29="",G29=""),"",E29/G29)</x:f>
      </x:c>
      <x:c r="S29" s="36" t="str">
        <x:f>IF(OR(F29="",G29=""),"",F29/G29)</x:f>
      </x:c>
      <x:c r="T29" s="36" t="str">
        <x:f>IF(OR(H29="",I29="",J29=""),"",0.45*H29^2/(4*PI())+0.10*I29^2/(4*PI())+0.45*J29^2/(4*PI()))</x:f>
      </x:c>
      <x:c r="U29" s="36" t="str">
        <x:f>IF(G29="","",1.1*G29*100)</x:f>
      </x:c>
      <x:c r="V29" s="36" t="str">
        <x:f>IF(OR(E29="",T29="",U29=""),"",E29*T29/U29)</x:f>
      </x:c>
      <x:c r="W29" s="37" t="str">
        <x:f>IF(OR(F29="",T29="",U29=""),"",F29*T29/U29)</x:f>
      </x:c>
    </x:row>
    <x:row r="30">
      <x:c r="A30" s="32"/>
      <x:c r="B30" s="33"/>
      <x:c r="C30" s="34"/>
      <x:c r="D30" s="34"/>
      <x:c r="E30" s="35"/>
      <x:c r="F30" s="35"/>
      <x:c r="G30" s="35"/>
      <x:c r="H30" s="35"/>
      <x:c r="I30" s="35"/>
      <x:c r="J30" s="35"/>
      <x:c r="K30" s="34"/>
      <x:c r="L30" s="34"/>
      <x:c r="M30" s="34"/>
      <x:c r="N30" s="34"/>
      <x:c r="O30" s="34"/>
      <x:c r="P30" s="34"/>
      <x:c r="Q30" s="34"/>
      <x:c r="R30" s="36" t="str">
        <x:f>IF(OR(E30="",G30=""),"",E30/G30)</x:f>
      </x:c>
      <x:c r="S30" s="36" t="str">
        <x:f>IF(OR(F30="",G30=""),"",F30/G30)</x:f>
      </x:c>
      <x:c r="T30" s="36" t="str">
        <x:f>IF(OR(H30="",I30="",J30=""),"",0.45*H30^2/(4*PI())+0.10*I30^2/(4*PI())+0.45*J30^2/(4*PI()))</x:f>
      </x:c>
      <x:c r="U30" s="36" t="str">
        <x:f>IF(G30="","",1.1*G30*100)</x:f>
      </x:c>
      <x:c r="V30" s="36" t="str">
        <x:f>IF(OR(E30="",T30="",U30=""),"",E30*T30/U30)</x:f>
      </x:c>
      <x:c r="W30" s="37" t="str">
        <x:f>IF(OR(F30="",T30="",U30=""),"",F30*T30/U30)</x:f>
      </x:c>
    </x:row>
    <x:row r="31">
      <x:c r="A31" s="32"/>
      <x:c r="B31" s="33"/>
      <x:c r="C31" s="34"/>
      <x:c r="D31" s="34"/>
      <x:c r="E31" s="35"/>
      <x:c r="F31" s="35"/>
      <x:c r="G31" s="35"/>
      <x:c r="H31" s="35"/>
      <x:c r="I31" s="35"/>
      <x:c r="J31" s="35"/>
      <x:c r="K31" s="34"/>
      <x:c r="L31" s="34"/>
      <x:c r="M31" s="34"/>
      <x:c r="N31" s="34"/>
      <x:c r="O31" s="34"/>
      <x:c r="P31" s="34"/>
      <x:c r="Q31" s="34"/>
      <x:c r="R31" s="36" t="str">
        <x:f>IF(OR(E31="",G31=""),"",E31/G31)</x:f>
      </x:c>
      <x:c r="S31" s="36" t="str">
        <x:f>IF(OR(F31="",G31=""),"",F31/G31)</x:f>
      </x:c>
      <x:c r="T31" s="36" t="str">
        <x:f>IF(OR(H31="",I31="",J31=""),"",0.45*H31^2/(4*PI())+0.10*I31^2/(4*PI())+0.45*J31^2/(4*PI()))</x:f>
      </x:c>
      <x:c r="U31" s="36" t="str">
        <x:f>IF(G31="","",1.1*G31*100)</x:f>
      </x:c>
      <x:c r="V31" s="36" t="str">
        <x:f>IF(OR(E31="",T31="",U31=""),"",E31*T31/U31)</x:f>
      </x:c>
      <x:c r="W31" s="37" t="str">
        <x:f>IF(OR(F31="",T31="",U31=""),"",F31*T31/U31)</x:f>
      </x:c>
    </x:row>
    <x:row r="32">
      <x:c r="A32" s="32"/>
      <x:c r="B32" s="33"/>
      <x:c r="C32" s="34"/>
      <x:c r="D32" s="34"/>
      <x:c r="E32" s="35"/>
      <x:c r="F32" s="35"/>
      <x:c r="G32" s="35"/>
      <x:c r="H32" s="35"/>
      <x:c r="I32" s="35"/>
      <x:c r="J32" s="35"/>
      <x:c r="K32" s="34"/>
      <x:c r="L32" s="34"/>
      <x:c r="M32" s="34"/>
      <x:c r="N32" s="34"/>
      <x:c r="O32" s="34"/>
      <x:c r="P32" s="34"/>
      <x:c r="Q32" s="34"/>
      <x:c r="R32" s="36" t="str">
        <x:f>IF(OR(E32="",G32=""),"",E32/G32)</x:f>
      </x:c>
      <x:c r="S32" s="36" t="str">
        <x:f>IF(OR(F32="",G32=""),"",F32/G32)</x:f>
      </x:c>
      <x:c r="T32" s="36" t="str">
        <x:f>IF(OR(H32="",I32="",J32=""),"",0.45*H32^2/(4*PI())+0.10*I32^2/(4*PI())+0.45*J32^2/(4*PI()))</x:f>
      </x:c>
      <x:c r="U32" s="36" t="str">
        <x:f>IF(G32="","",1.1*G32*100)</x:f>
      </x:c>
      <x:c r="V32" s="36" t="str">
        <x:f>IF(OR(E32="",T32="",U32=""),"",E32*T32/U32)</x:f>
      </x:c>
      <x:c r="W32" s="37" t="str">
        <x:f>IF(OR(F32="",T32="",U32=""),"",F32*T32/U32)</x:f>
      </x:c>
    </x:row>
    <x:row r="33">
      <x:c r="A33" s="32"/>
      <x:c r="B33" s="33"/>
      <x:c r="C33" s="34"/>
      <x:c r="D33" s="34"/>
      <x:c r="E33" s="35"/>
      <x:c r="F33" s="35"/>
      <x:c r="G33" s="35"/>
      <x:c r="H33" s="35"/>
      <x:c r="I33" s="35"/>
      <x:c r="J33" s="35"/>
      <x:c r="K33" s="34"/>
      <x:c r="L33" s="34"/>
      <x:c r="M33" s="34"/>
      <x:c r="N33" s="34"/>
      <x:c r="O33" s="34"/>
      <x:c r="P33" s="34"/>
      <x:c r="Q33" s="34"/>
      <x:c r="R33" s="36" t="str">
        <x:f>IF(OR(E33="",G33=""),"",E33/G33)</x:f>
      </x:c>
      <x:c r="S33" s="36" t="str">
        <x:f>IF(OR(F33="",G33=""),"",F33/G33)</x:f>
      </x:c>
      <x:c r="T33" s="36" t="str">
        <x:f>IF(OR(H33="",I33="",J33=""),"",0.45*H33^2/(4*PI())+0.10*I33^2/(4*PI())+0.45*J33^2/(4*PI()))</x:f>
      </x:c>
      <x:c r="U33" s="36" t="str">
        <x:f>IF(G33="","",1.1*G33*100)</x:f>
      </x:c>
      <x:c r="V33" s="36" t="str">
        <x:f>IF(OR(E33="",T33="",U33=""),"",E33*T33/U33)</x:f>
      </x:c>
      <x:c r="W33" s="37" t="str">
        <x:f>IF(OR(F33="",T33="",U33=""),"",F33*T33/U33)</x:f>
      </x:c>
    </x:row>
    <x:row r="34">
      <x:c r="A34" s="32"/>
      <x:c r="B34" s="33"/>
      <x:c r="C34" s="34"/>
      <x:c r="D34" s="34"/>
      <x:c r="E34" s="35"/>
      <x:c r="F34" s="35"/>
      <x:c r="G34" s="35"/>
      <x:c r="H34" s="35"/>
      <x:c r="I34" s="35"/>
      <x:c r="J34" s="35"/>
      <x:c r="K34" s="34"/>
      <x:c r="L34" s="34"/>
      <x:c r="M34" s="34"/>
      <x:c r="N34" s="34"/>
      <x:c r="O34" s="34"/>
      <x:c r="P34" s="34"/>
      <x:c r="Q34" s="34"/>
      <x:c r="R34" s="36" t="str">
        <x:f>IF(OR(E34="",G34=""),"",E34/G34)</x:f>
      </x:c>
      <x:c r="S34" s="36" t="str">
        <x:f>IF(OR(F34="",G34=""),"",F34/G34)</x:f>
      </x:c>
      <x:c r="T34" s="36" t="str">
        <x:f>IF(OR(H34="",I34="",J34=""),"",0.45*H34^2/(4*PI())+0.10*I34^2/(4*PI())+0.45*J34^2/(4*PI()))</x:f>
      </x:c>
      <x:c r="U34" s="36" t="str">
        <x:f>IF(G34="","",1.1*G34*100)</x:f>
      </x:c>
      <x:c r="V34" s="36" t="str">
        <x:f>IF(OR(E34="",T34="",U34=""),"",E34*T34/U34)</x:f>
      </x:c>
      <x:c r="W34" s="37" t="str">
        <x:f>IF(OR(F34="",T34="",U34=""),"",F34*T34/U34)</x:f>
      </x:c>
    </x:row>
    <x:row r="35">
      <x:c r="A35" s="32"/>
      <x:c r="B35" s="33"/>
      <x:c r="C35" s="34"/>
      <x:c r="D35" s="34"/>
      <x:c r="E35" s="35"/>
      <x:c r="F35" s="35"/>
      <x:c r="G35" s="35"/>
      <x:c r="H35" s="35"/>
      <x:c r="I35" s="35"/>
      <x:c r="J35" s="35"/>
      <x:c r="K35" s="34"/>
      <x:c r="L35" s="34"/>
      <x:c r="M35" s="34"/>
      <x:c r="N35" s="34"/>
      <x:c r="O35" s="34"/>
      <x:c r="P35" s="34"/>
      <x:c r="Q35" s="34"/>
      <x:c r="R35" s="36" t="str">
        <x:f>IF(OR(E35="",G35=""),"",E35/G35)</x:f>
      </x:c>
      <x:c r="S35" s="36" t="str">
        <x:f>IF(OR(F35="",G35=""),"",F35/G35)</x:f>
      </x:c>
      <x:c r="T35" s="36" t="str">
        <x:f>IF(OR(H35="",I35="",J35=""),"",0.45*H35^2/(4*PI())+0.10*I35^2/(4*PI())+0.45*J35^2/(4*PI()))</x:f>
      </x:c>
      <x:c r="U35" s="36" t="str">
        <x:f>IF(G35="","",1.1*G35*100)</x:f>
      </x:c>
      <x:c r="V35" s="36" t="str">
        <x:f>IF(OR(E35="",T35="",U35=""),"",E35*T35/U35)</x:f>
      </x:c>
      <x:c r="W35" s="37" t="str">
        <x:f>IF(OR(F35="",T35="",U35=""),"",F35*T35/U35)</x:f>
      </x:c>
    </x:row>
    <x:row r="36">
      <x:c r="A36" s="32"/>
      <x:c r="B36" s="33"/>
      <x:c r="C36" s="34"/>
      <x:c r="D36" s="34"/>
      <x:c r="E36" s="35"/>
      <x:c r="F36" s="35"/>
      <x:c r="G36" s="35"/>
      <x:c r="H36" s="35"/>
      <x:c r="I36" s="35"/>
      <x:c r="J36" s="35"/>
      <x:c r="K36" s="34"/>
      <x:c r="L36" s="34"/>
      <x:c r="M36" s="34"/>
      <x:c r="N36" s="34"/>
      <x:c r="O36" s="34"/>
      <x:c r="P36" s="34"/>
      <x:c r="Q36" s="34"/>
      <x:c r="R36" s="36" t="str">
        <x:f>IF(OR(E36="",G36=""),"",E36/G36)</x:f>
      </x:c>
      <x:c r="S36" s="36" t="str">
        <x:f>IF(OR(F36="",G36=""),"",F36/G36)</x:f>
      </x:c>
      <x:c r="T36" s="36" t="str">
        <x:f>IF(OR(H36="",I36="",J36=""),"",0.45*H36^2/(4*PI())+0.10*I36^2/(4*PI())+0.45*J36^2/(4*PI()))</x:f>
      </x:c>
      <x:c r="U36" s="36" t="str">
        <x:f>IF(G36="","",1.1*G36*100)</x:f>
      </x:c>
      <x:c r="V36" s="36" t="str">
        <x:f>IF(OR(E36="",T36="",U36=""),"",E36*T36/U36)</x:f>
      </x:c>
      <x:c r="W36" s="37" t="str">
        <x:f>IF(OR(F36="",T36="",U36=""),"",F36*T36/U36)</x:f>
      </x:c>
    </x:row>
    <x:row r="37">
      <x:c r="A37" s="32"/>
      <x:c r="B37" s="33"/>
      <x:c r="C37" s="34"/>
      <x:c r="D37" s="34"/>
      <x:c r="E37" s="35"/>
      <x:c r="F37" s="35"/>
      <x:c r="G37" s="35"/>
      <x:c r="H37" s="35"/>
      <x:c r="I37" s="35"/>
      <x:c r="J37" s="35"/>
      <x:c r="K37" s="34"/>
      <x:c r="L37" s="34"/>
      <x:c r="M37" s="34"/>
      <x:c r="N37" s="34"/>
      <x:c r="O37" s="34"/>
      <x:c r="P37" s="34"/>
      <x:c r="Q37" s="34"/>
      <x:c r="R37" s="36" t="str">
        <x:f>IF(OR(E37="",G37=""),"",E37/G37)</x:f>
      </x:c>
      <x:c r="S37" s="36" t="str">
        <x:f>IF(OR(F37="",G37=""),"",F37/G37)</x:f>
      </x:c>
      <x:c r="T37" s="36" t="str">
        <x:f>IF(OR(H37="",I37="",J37=""),"",0.45*H37^2/(4*PI())+0.10*I37^2/(4*PI())+0.45*J37^2/(4*PI()))</x:f>
      </x:c>
      <x:c r="U37" s="36" t="str">
        <x:f>IF(G37="","",1.1*G37*100)</x:f>
      </x:c>
      <x:c r="V37" s="36" t="str">
        <x:f>IF(OR(E37="",T37="",U37=""),"",E37*T37/U37)</x:f>
      </x:c>
      <x:c r="W37" s="37" t="str">
        <x:f>IF(OR(F37="",T37="",U37=""),"",F37*T37/U37)</x:f>
      </x:c>
    </x:row>
    <x:row r="38">
      <x:c r="A38" s="32"/>
      <x:c r="B38" s="33"/>
      <x:c r="C38" s="34"/>
      <x:c r="D38" s="34"/>
      <x:c r="E38" s="35"/>
      <x:c r="F38" s="35"/>
      <x:c r="G38" s="35"/>
      <x:c r="H38" s="35"/>
      <x:c r="I38" s="35"/>
      <x:c r="J38" s="35"/>
      <x:c r="K38" s="34"/>
      <x:c r="L38" s="34"/>
      <x:c r="M38" s="34"/>
      <x:c r="N38" s="34"/>
      <x:c r="O38" s="34"/>
      <x:c r="P38" s="34"/>
      <x:c r="Q38" s="34"/>
      <x:c r="R38" s="36" t="str">
        <x:f>IF(OR(E38="",G38=""),"",E38/G38)</x:f>
      </x:c>
      <x:c r="S38" s="36" t="str">
        <x:f>IF(OR(F38="",G38=""),"",F38/G38)</x:f>
      </x:c>
      <x:c r="T38" s="36" t="str">
        <x:f>IF(OR(H38="",I38="",J38=""),"",0.45*H38^2/(4*PI())+0.10*I38^2/(4*PI())+0.45*J38^2/(4*PI()))</x:f>
      </x:c>
      <x:c r="U38" s="36" t="str">
        <x:f>IF(G38="","",1.1*G38*100)</x:f>
      </x:c>
      <x:c r="V38" s="36" t="str">
        <x:f>IF(OR(E38="",T38="",U38=""),"",E38*T38/U38)</x:f>
      </x:c>
      <x:c r="W38" s="37" t="str">
        <x:f>IF(OR(F38="",T38="",U38=""),"",F38*T38/U38)</x:f>
      </x:c>
    </x:row>
    <x:row r="39">
      <x:c r="A39" s="32"/>
      <x:c r="B39" s="33"/>
      <x:c r="C39" s="34"/>
      <x:c r="D39" s="34"/>
      <x:c r="E39" s="35"/>
      <x:c r="F39" s="35"/>
      <x:c r="G39" s="35"/>
      <x:c r="H39" s="35"/>
      <x:c r="I39" s="35"/>
      <x:c r="J39" s="35"/>
      <x:c r="K39" s="34"/>
      <x:c r="L39" s="34"/>
      <x:c r="M39" s="34"/>
      <x:c r="N39" s="34"/>
      <x:c r="O39" s="34"/>
      <x:c r="P39" s="34"/>
      <x:c r="Q39" s="34"/>
      <x:c r="R39" s="36" t="str">
        <x:f>IF(OR(E39="",G39=""),"",E39/G39)</x:f>
      </x:c>
      <x:c r="S39" s="36" t="str">
        <x:f>IF(OR(F39="",G39=""),"",F39/G39)</x:f>
      </x:c>
      <x:c r="T39" s="36" t="str">
        <x:f>IF(OR(H39="",I39="",J39=""),"",0.45*H39^2/(4*PI())+0.10*I39^2/(4*PI())+0.45*J39^2/(4*PI()))</x:f>
      </x:c>
      <x:c r="U39" s="36" t="str">
        <x:f>IF(G39="","",1.1*G39*100)</x:f>
      </x:c>
      <x:c r="V39" s="36" t="str">
        <x:f>IF(OR(E39="",T39="",U39=""),"",E39*T39/U39)</x:f>
      </x:c>
      <x:c r="W39" s="37" t="str">
        <x:f>IF(OR(F39="",T39="",U39=""),"",F39*T39/U39)</x:f>
      </x:c>
    </x:row>
    <x:row r="40">
      <x:c r="A40" s="32"/>
      <x:c r="B40" s="33"/>
      <x:c r="C40" s="34"/>
      <x:c r="D40" s="34"/>
      <x:c r="E40" s="35"/>
      <x:c r="F40" s="35"/>
      <x:c r="G40" s="35"/>
      <x:c r="H40" s="35"/>
      <x:c r="I40" s="35"/>
      <x:c r="J40" s="35"/>
      <x:c r="K40" s="34"/>
      <x:c r="L40" s="34"/>
      <x:c r="M40" s="34"/>
      <x:c r="N40" s="34"/>
      <x:c r="O40" s="34"/>
      <x:c r="P40" s="34"/>
      <x:c r="Q40" s="34"/>
      <x:c r="R40" s="36" t="str">
        <x:f>IF(OR(E40="",G40=""),"",E40/G40)</x:f>
      </x:c>
      <x:c r="S40" s="36" t="str">
        <x:f>IF(OR(F40="",G40=""),"",F40/G40)</x:f>
      </x:c>
      <x:c r="T40" s="36" t="str">
        <x:f>IF(OR(H40="",I40="",J40=""),"",0.45*H40^2/(4*PI())+0.10*I40^2/(4*PI())+0.45*J40^2/(4*PI()))</x:f>
      </x:c>
      <x:c r="U40" s="36" t="str">
        <x:f>IF(G40="","",1.1*G40*100)</x:f>
      </x:c>
      <x:c r="V40" s="36" t="str">
        <x:f>IF(OR(E40="",T40="",U40=""),"",E40*T40/U40)</x:f>
      </x:c>
      <x:c r="W40" s="37" t="str">
        <x:f>IF(OR(F40="",T40="",U40=""),"",F40*T40/U40)</x:f>
      </x:c>
    </x:row>
    <x:row r="41">
      <x:c r="A41" s="32"/>
      <x:c r="B41" s="33"/>
      <x:c r="C41" s="34"/>
      <x:c r="D41" s="34"/>
      <x:c r="E41" s="35"/>
      <x:c r="F41" s="35"/>
      <x:c r="G41" s="35"/>
      <x:c r="H41" s="35"/>
      <x:c r="I41" s="35"/>
      <x:c r="J41" s="35"/>
      <x:c r="K41" s="34"/>
      <x:c r="L41" s="34"/>
      <x:c r="M41" s="34"/>
      <x:c r="N41" s="34"/>
      <x:c r="O41" s="34"/>
      <x:c r="P41" s="34"/>
      <x:c r="Q41" s="34"/>
      <x:c r="R41" s="36" t="str">
        <x:f>IF(OR(E41="",G41=""),"",E41/G41)</x:f>
      </x:c>
      <x:c r="S41" s="36" t="str">
        <x:f>IF(OR(F41="",G41=""),"",F41/G41)</x:f>
      </x:c>
      <x:c r="T41" s="36" t="str">
        <x:f>IF(OR(H41="",I41="",J41=""),"",0.45*H41^2/(4*PI())+0.10*I41^2/(4*PI())+0.45*J41^2/(4*PI()))</x:f>
      </x:c>
      <x:c r="U41" s="36" t="str">
        <x:f>IF(G41="","",1.1*G41*100)</x:f>
      </x:c>
      <x:c r="V41" s="36" t="str">
        <x:f>IF(OR(E41="",T41="",U41=""),"",E41*T41/U41)</x:f>
      </x:c>
      <x:c r="W41" s="37" t="str">
        <x:f>IF(OR(F41="",T41="",U41=""),"",F41*T41/U41)</x:f>
      </x:c>
    </x:row>
    <x:row r="42">
      <x:c r="A42" s="32"/>
      <x:c r="B42" s="33"/>
      <x:c r="C42" s="34"/>
      <x:c r="D42" s="34"/>
      <x:c r="E42" s="35"/>
      <x:c r="F42" s="35"/>
      <x:c r="G42" s="35"/>
      <x:c r="H42" s="35"/>
      <x:c r="I42" s="35"/>
      <x:c r="J42" s="35"/>
      <x:c r="K42" s="34"/>
      <x:c r="L42" s="34"/>
      <x:c r="M42" s="34"/>
      <x:c r="N42" s="34"/>
      <x:c r="O42" s="34"/>
      <x:c r="P42" s="34"/>
      <x:c r="Q42" s="34"/>
      <x:c r="R42" s="36" t="str">
        <x:f>IF(OR(E42="",G42=""),"",E42/G42)</x:f>
      </x:c>
      <x:c r="S42" s="36" t="str">
        <x:f>IF(OR(F42="",G42=""),"",F42/G42)</x:f>
      </x:c>
      <x:c r="T42" s="36" t="str">
        <x:f>IF(OR(H42="",I42="",J42=""),"",0.45*H42^2/(4*PI())+0.10*I42^2/(4*PI())+0.45*J42^2/(4*PI()))</x:f>
      </x:c>
      <x:c r="U42" s="36" t="str">
        <x:f>IF(G42="","",1.1*G42*100)</x:f>
      </x:c>
      <x:c r="V42" s="36" t="str">
        <x:f>IF(OR(E42="",T42="",U42=""),"",E42*T42/U42)</x:f>
      </x:c>
      <x:c r="W42" s="37" t="str">
        <x:f>IF(OR(F42="",T42="",U42=""),"",F42*T42/U42)</x:f>
      </x:c>
    </x:row>
    <x:row r="43">
      <x:c r="A43" s="32"/>
      <x:c r="B43" s="33"/>
      <x:c r="C43" s="34"/>
      <x:c r="D43" s="34"/>
      <x:c r="E43" s="35"/>
      <x:c r="F43" s="35"/>
      <x:c r="G43" s="35"/>
      <x:c r="H43" s="35"/>
      <x:c r="I43" s="35"/>
      <x:c r="J43" s="35"/>
      <x:c r="K43" s="34"/>
      <x:c r="L43" s="34"/>
      <x:c r="M43" s="34"/>
      <x:c r="N43" s="34"/>
      <x:c r="O43" s="34"/>
      <x:c r="P43" s="34"/>
      <x:c r="Q43" s="34"/>
      <x:c r="R43" s="36" t="str">
        <x:f>IF(OR(E43="",G43=""),"",E43/G43)</x:f>
      </x:c>
      <x:c r="S43" s="36" t="str">
        <x:f>IF(OR(F43="",G43=""),"",F43/G43)</x:f>
      </x:c>
      <x:c r="T43" s="36" t="str">
        <x:f>IF(OR(H43="",I43="",J43=""),"",0.45*H43^2/(4*PI())+0.10*I43^2/(4*PI())+0.45*J43^2/(4*PI()))</x:f>
      </x:c>
      <x:c r="U43" s="36" t="str">
        <x:f>IF(G43="","",1.1*G43*100)</x:f>
      </x:c>
      <x:c r="V43" s="36" t="str">
        <x:f>IF(OR(E43="",T43="",U43=""),"",E43*T43/U43)</x:f>
      </x:c>
      <x:c r="W43" s="37" t="str">
        <x:f>IF(OR(F43="",T43="",U43=""),"",F43*T43/U43)</x:f>
      </x:c>
    </x:row>
    <x:row r="44">
      <x:c r="A44" s="32"/>
      <x:c r="B44" s="33"/>
      <x:c r="C44" s="34"/>
      <x:c r="D44" s="34"/>
      <x:c r="E44" s="35"/>
      <x:c r="F44" s="35"/>
      <x:c r="G44" s="35"/>
      <x:c r="H44" s="35"/>
      <x:c r="I44" s="35"/>
      <x:c r="J44" s="35"/>
      <x:c r="K44" s="34"/>
      <x:c r="L44" s="34"/>
      <x:c r="M44" s="34"/>
      <x:c r="N44" s="34"/>
      <x:c r="O44" s="34"/>
      <x:c r="P44" s="34"/>
      <x:c r="Q44" s="34"/>
      <x:c r="R44" s="36" t="str">
        <x:f>IF(OR(E44="",G44=""),"",E44/G44)</x:f>
      </x:c>
      <x:c r="S44" s="36" t="str">
        <x:f>IF(OR(F44="",G44=""),"",F44/G44)</x:f>
      </x:c>
      <x:c r="T44" s="36" t="str">
        <x:f>IF(OR(H44="",I44="",J44=""),"",0.45*H44^2/(4*PI())+0.10*I44^2/(4*PI())+0.45*J44^2/(4*PI()))</x:f>
      </x:c>
      <x:c r="U44" s="36" t="str">
        <x:f>IF(G44="","",1.1*G44*100)</x:f>
      </x:c>
      <x:c r="V44" s="36" t="str">
        <x:f>IF(OR(E44="",T44="",U44=""),"",E44*T44/U44)</x:f>
      </x:c>
      <x:c r="W44" s="37" t="str">
        <x:f>IF(OR(F44="",T44="",U44=""),"",F44*T44/U44)</x:f>
      </x:c>
    </x:row>
    <x:row r="45">
      <x:c r="A45" s="32"/>
      <x:c r="B45" s="33"/>
      <x:c r="C45" s="34"/>
      <x:c r="D45" s="34"/>
      <x:c r="E45" s="35"/>
      <x:c r="F45" s="35"/>
      <x:c r="G45" s="35"/>
      <x:c r="H45" s="35"/>
      <x:c r="I45" s="35"/>
      <x:c r="J45" s="35"/>
      <x:c r="K45" s="34"/>
      <x:c r="L45" s="34"/>
      <x:c r="M45" s="34"/>
      <x:c r="N45" s="34"/>
      <x:c r="O45" s="34"/>
      <x:c r="P45" s="34"/>
      <x:c r="Q45" s="34"/>
      <x:c r="R45" s="36" t="str">
        <x:f>IF(OR(E45="",G45=""),"",E45/G45)</x:f>
      </x:c>
      <x:c r="S45" s="36" t="str">
        <x:f>IF(OR(F45="",G45=""),"",F45/G45)</x:f>
      </x:c>
      <x:c r="T45" s="36" t="str">
        <x:f>IF(OR(H45="",I45="",J45=""),"",0.45*H45^2/(4*PI())+0.10*I45^2/(4*PI())+0.45*J45^2/(4*PI()))</x:f>
      </x:c>
      <x:c r="U45" s="36" t="str">
        <x:f>IF(G45="","",1.1*G45*100)</x:f>
      </x:c>
      <x:c r="V45" s="36" t="str">
        <x:f>IF(OR(E45="",T45="",U45=""),"",E45*T45/U45)</x:f>
      </x:c>
      <x:c r="W45" s="37" t="str">
        <x:f>IF(OR(F45="",T45="",U45=""),"",F45*T45/U45)</x:f>
      </x:c>
    </x:row>
    <x:row r="46">
      <x:c r="A46" s="32"/>
      <x:c r="B46" s="33"/>
      <x:c r="C46" s="34"/>
      <x:c r="D46" s="34"/>
      <x:c r="E46" s="35"/>
      <x:c r="F46" s="35"/>
      <x:c r="G46" s="35"/>
      <x:c r="H46" s="35"/>
      <x:c r="I46" s="35"/>
      <x:c r="J46" s="35"/>
      <x:c r="K46" s="34"/>
      <x:c r="L46" s="34"/>
      <x:c r="M46" s="34"/>
      <x:c r="N46" s="34"/>
      <x:c r="O46" s="34"/>
      <x:c r="P46" s="34"/>
      <x:c r="Q46" s="34"/>
      <x:c r="R46" s="36" t="str">
        <x:f>IF(OR(E46="",G46=""),"",E46/G46)</x:f>
      </x:c>
      <x:c r="S46" s="36" t="str">
        <x:f>IF(OR(F46="",G46=""),"",F46/G46)</x:f>
      </x:c>
      <x:c r="T46" s="36" t="str">
        <x:f>IF(OR(H46="",I46="",J46=""),"",0.45*H46^2/(4*PI())+0.10*I46^2/(4*PI())+0.45*J46^2/(4*PI()))</x:f>
      </x:c>
      <x:c r="U46" s="36" t="str">
        <x:f>IF(G46="","",1.1*G46*100)</x:f>
      </x:c>
      <x:c r="V46" s="36" t="str">
        <x:f>IF(OR(E46="",T46="",U46=""),"",E46*T46/U46)</x:f>
      </x:c>
      <x:c r="W46" s="37" t="str">
        <x:f>IF(OR(F46="",T46="",U46=""),"",F46*T46/U46)</x:f>
      </x:c>
    </x:row>
    <x:row r="47">
      <x:c r="A47" s="32"/>
      <x:c r="B47" s="33"/>
      <x:c r="C47" s="34"/>
      <x:c r="D47" s="34"/>
      <x:c r="E47" s="35"/>
      <x:c r="F47" s="35"/>
      <x:c r="G47" s="35"/>
      <x:c r="H47" s="35"/>
      <x:c r="I47" s="35"/>
      <x:c r="J47" s="35"/>
      <x:c r="K47" s="34"/>
      <x:c r="L47" s="34"/>
      <x:c r="M47" s="34"/>
      <x:c r="N47" s="34"/>
      <x:c r="O47" s="34"/>
      <x:c r="P47" s="34"/>
      <x:c r="Q47" s="34"/>
      <x:c r="R47" s="36" t="str">
        <x:f>IF(OR(E47="",G47=""),"",E47/G47)</x:f>
      </x:c>
      <x:c r="S47" s="36" t="str">
        <x:f>IF(OR(F47="",G47=""),"",F47/G47)</x:f>
      </x:c>
      <x:c r="T47" s="36" t="str">
        <x:f>IF(OR(H47="",I47="",J47=""),"",0.45*H47^2/(4*PI())+0.10*I47^2/(4*PI())+0.45*J47^2/(4*PI()))</x:f>
      </x:c>
      <x:c r="U47" s="36" t="str">
        <x:f>IF(G47="","",1.1*G47*100)</x:f>
      </x:c>
      <x:c r="V47" s="36" t="str">
        <x:f>IF(OR(E47="",T47="",U47=""),"",E47*T47/U47)</x:f>
      </x:c>
      <x:c r="W47" s="37" t="str">
        <x:f>IF(OR(F47="",T47="",U47=""),"",F47*T47/U47)</x:f>
      </x:c>
    </x:row>
    <x:row r="48">
      <x:c r="A48" s="32"/>
      <x:c r="B48" s="33"/>
      <x:c r="C48" s="34"/>
      <x:c r="D48" s="34"/>
      <x:c r="E48" s="35"/>
      <x:c r="F48" s="35"/>
      <x:c r="G48" s="35"/>
      <x:c r="H48" s="35"/>
      <x:c r="I48" s="35"/>
      <x:c r="J48" s="35"/>
      <x:c r="K48" s="34"/>
      <x:c r="L48" s="34"/>
      <x:c r="M48" s="34"/>
      <x:c r="N48" s="34"/>
      <x:c r="O48" s="34"/>
      <x:c r="P48" s="34"/>
      <x:c r="Q48" s="34"/>
      <x:c r="R48" s="36" t="str">
        <x:f>IF(OR(E48="",G48=""),"",E48/G48)</x:f>
      </x:c>
      <x:c r="S48" s="36" t="str">
        <x:f>IF(OR(F48="",G48=""),"",F48/G48)</x:f>
      </x:c>
      <x:c r="T48" s="36" t="str">
        <x:f>IF(OR(H48="",I48="",J48=""),"",0.45*H48^2/(4*PI())+0.10*I48^2/(4*PI())+0.45*J48^2/(4*PI()))</x:f>
      </x:c>
      <x:c r="U48" s="36" t="str">
        <x:f>IF(G48="","",1.1*G48*100)</x:f>
      </x:c>
      <x:c r="V48" s="36" t="str">
        <x:f>IF(OR(E48="",T48="",U48=""),"",E48*T48/U48)</x:f>
      </x:c>
      <x:c r="W48" s="37" t="str">
        <x:f>IF(OR(F48="",T48="",U48=""),"",F48*T48/U48)</x:f>
      </x:c>
    </x:row>
    <x:row r="49">
      <x:c r="A49" s="32"/>
      <x:c r="B49" s="33"/>
      <x:c r="C49" s="34"/>
      <x:c r="D49" s="34"/>
      <x:c r="E49" s="35"/>
      <x:c r="F49" s="35"/>
      <x:c r="G49" s="35"/>
      <x:c r="H49" s="35"/>
      <x:c r="I49" s="35"/>
      <x:c r="J49" s="35"/>
      <x:c r="K49" s="34"/>
      <x:c r="L49" s="34"/>
      <x:c r="M49" s="34"/>
      <x:c r="N49" s="34"/>
      <x:c r="O49" s="34"/>
      <x:c r="P49" s="34"/>
      <x:c r="Q49" s="34"/>
      <x:c r="R49" s="36" t="str">
        <x:f>IF(OR(E49="",G49=""),"",E49/G49)</x:f>
      </x:c>
      <x:c r="S49" s="36" t="str">
        <x:f>IF(OR(F49="",G49=""),"",F49/G49)</x:f>
      </x:c>
      <x:c r="T49" s="36" t="str">
        <x:f>IF(OR(H49="",I49="",J49=""),"",0.45*H49^2/(4*PI())+0.10*I49^2/(4*PI())+0.45*J49^2/(4*PI()))</x:f>
      </x:c>
      <x:c r="U49" s="36" t="str">
        <x:f>IF(G49="","",1.1*G49*100)</x:f>
      </x:c>
      <x:c r="V49" s="36" t="str">
        <x:f>IF(OR(E49="",T49="",U49=""),"",E49*T49/U49)</x:f>
      </x:c>
      <x:c r="W49" s="37" t="str">
        <x:f>IF(OR(F49="",T49="",U49=""),"",F49*T49/U49)</x:f>
      </x:c>
    </x:row>
    <x:row r="50">
      <x:c r="A50" s="32"/>
      <x:c r="B50" s="33"/>
      <x:c r="C50" s="34"/>
      <x:c r="D50" s="34"/>
      <x:c r="E50" s="35"/>
      <x:c r="F50" s="35"/>
      <x:c r="G50" s="35"/>
      <x:c r="H50" s="35"/>
      <x:c r="I50" s="35"/>
      <x:c r="J50" s="35"/>
      <x:c r="K50" s="34"/>
      <x:c r="L50" s="34"/>
      <x:c r="M50" s="34"/>
      <x:c r="N50" s="34"/>
      <x:c r="O50" s="34"/>
      <x:c r="P50" s="34"/>
      <x:c r="Q50" s="34"/>
      <x:c r="R50" s="36" t="str">
        <x:f>IF(OR(E50="",G50=""),"",E50/G50)</x:f>
      </x:c>
      <x:c r="S50" s="36" t="str">
        <x:f>IF(OR(F50="",G50=""),"",F50/G50)</x:f>
      </x:c>
      <x:c r="T50" s="36" t="str">
        <x:f>IF(OR(H50="",I50="",J50=""),"",0.45*H50^2/(4*PI())+0.10*I50^2/(4*PI())+0.45*J50^2/(4*PI()))</x:f>
      </x:c>
      <x:c r="U50" s="36" t="str">
        <x:f>IF(G50="","",1.1*G50*100)</x:f>
      </x:c>
      <x:c r="V50" s="36" t="str">
        <x:f>IF(OR(E50="",T50="",U50=""),"",E50*T50/U50)</x:f>
      </x:c>
      <x:c r="W50" s="37" t="str">
        <x:f>IF(OR(F50="",T50="",U50=""),"",F50*T50/U50)</x:f>
      </x:c>
    </x:row>
    <x:row r="51">
      <x:c r="A51" s="32"/>
      <x:c r="B51" s="33"/>
      <x:c r="C51" s="34"/>
      <x:c r="D51" s="34"/>
      <x:c r="E51" s="35"/>
      <x:c r="F51" s="35"/>
      <x:c r="G51" s="35"/>
      <x:c r="H51" s="35"/>
      <x:c r="I51" s="35"/>
      <x:c r="J51" s="35"/>
      <x:c r="K51" s="34"/>
      <x:c r="L51" s="34"/>
      <x:c r="M51" s="34"/>
      <x:c r="N51" s="34"/>
      <x:c r="O51" s="34"/>
      <x:c r="P51" s="34"/>
      <x:c r="Q51" s="34"/>
      <x:c r="R51" s="36" t="str">
        <x:f>IF(OR(E51="",G51=""),"",E51/G51)</x:f>
      </x:c>
      <x:c r="S51" s="36" t="str">
        <x:f>IF(OR(F51="",G51=""),"",F51/G51)</x:f>
      </x:c>
      <x:c r="T51" s="36" t="str">
        <x:f>IF(OR(H51="",I51="",J51=""),"",0.45*H51^2/(4*PI())+0.10*I51^2/(4*PI())+0.45*J51^2/(4*PI()))</x:f>
      </x:c>
      <x:c r="U51" s="36" t="str">
        <x:f>IF(G51="","",1.1*G51*100)</x:f>
      </x:c>
      <x:c r="V51" s="36" t="str">
        <x:f>IF(OR(E51="",T51="",U51=""),"",E51*T51/U51)</x:f>
      </x:c>
      <x:c r="W51" s="37" t="str">
        <x:f>IF(OR(F51="",T51="",U51=""),"",F51*T51/U51)</x:f>
      </x:c>
    </x:row>
    <x:row r="52">
      <x:c r="A52" s="32"/>
      <x:c r="B52" s="33"/>
      <x:c r="C52" s="34"/>
      <x:c r="D52" s="34"/>
      <x:c r="E52" s="35"/>
      <x:c r="F52" s="35"/>
      <x:c r="G52" s="35"/>
      <x:c r="H52" s="35"/>
      <x:c r="I52" s="35"/>
      <x:c r="J52" s="35"/>
      <x:c r="K52" s="34"/>
      <x:c r="L52" s="34"/>
      <x:c r="M52" s="34"/>
      <x:c r="N52" s="34"/>
      <x:c r="O52" s="34"/>
      <x:c r="P52" s="34"/>
      <x:c r="Q52" s="34"/>
      <x:c r="R52" s="36" t="str">
        <x:f>IF(OR(E52="",G52=""),"",E52/G52)</x:f>
      </x:c>
      <x:c r="S52" s="36" t="str">
        <x:f>IF(OR(F52="",G52=""),"",F52/G52)</x:f>
      </x:c>
      <x:c r="T52" s="36" t="str">
        <x:f>IF(OR(H52="",I52="",J52=""),"",0.45*H52^2/(4*PI())+0.10*I52^2/(4*PI())+0.45*J52^2/(4*PI()))</x:f>
      </x:c>
      <x:c r="U52" s="36" t="str">
        <x:f>IF(G52="","",1.1*G52*100)</x:f>
      </x:c>
      <x:c r="V52" s="36" t="str">
        <x:f>IF(OR(E52="",T52="",U52=""),"",E52*T52/U52)</x:f>
      </x:c>
      <x:c r="W52" s="37" t="str">
        <x:f>IF(OR(F52="",T52="",U52=""),"",F52*T52/U52)</x:f>
      </x:c>
    </x:row>
    <x:row r="53">
      <x:c r="A53" s="32"/>
      <x:c r="B53" s="33"/>
      <x:c r="C53" s="34"/>
      <x:c r="D53" s="34"/>
      <x:c r="E53" s="35"/>
      <x:c r="F53" s="35"/>
      <x:c r="G53" s="35"/>
      <x:c r="H53" s="35"/>
      <x:c r="I53" s="35"/>
      <x:c r="J53" s="35"/>
      <x:c r="K53" s="34"/>
      <x:c r="L53" s="34"/>
      <x:c r="M53" s="34"/>
      <x:c r="N53" s="34"/>
      <x:c r="O53" s="34"/>
      <x:c r="P53" s="34"/>
      <x:c r="Q53" s="34"/>
      <x:c r="R53" s="36" t="str">
        <x:f>IF(OR(E53="",G53=""),"",E53/G53)</x:f>
      </x:c>
      <x:c r="S53" s="36" t="str">
        <x:f>IF(OR(F53="",G53=""),"",F53/G53)</x:f>
      </x:c>
      <x:c r="T53" s="36" t="str">
        <x:f>IF(OR(H53="",I53="",J53=""),"",0.45*H53^2/(4*PI())+0.10*I53^2/(4*PI())+0.45*J53^2/(4*PI()))</x:f>
      </x:c>
      <x:c r="U53" s="36" t="str">
        <x:f>IF(G53="","",1.1*G53*100)</x:f>
      </x:c>
      <x:c r="V53" s="36" t="str">
        <x:f>IF(OR(E53="",T53="",U53=""),"",E53*T53/U53)</x:f>
      </x:c>
      <x:c r="W53" s="37" t="str">
        <x:f>IF(OR(F53="",T53="",U53=""),"",F53*T53/U53)</x:f>
      </x:c>
    </x:row>
    <x:row r="54">
      <x:c r="A54" s="32"/>
      <x:c r="B54" s="33"/>
      <x:c r="C54" s="34"/>
      <x:c r="D54" s="34"/>
      <x:c r="E54" s="35"/>
      <x:c r="F54" s="35"/>
      <x:c r="G54" s="35"/>
      <x:c r="H54" s="35"/>
      <x:c r="I54" s="35"/>
      <x:c r="J54" s="35"/>
      <x:c r="K54" s="34"/>
      <x:c r="L54" s="34"/>
      <x:c r="M54" s="34"/>
      <x:c r="N54" s="34"/>
      <x:c r="O54" s="34"/>
      <x:c r="P54" s="34"/>
      <x:c r="Q54" s="34"/>
      <x:c r="R54" s="36" t="str">
        <x:f>IF(OR(E54="",G54=""),"",E54/G54)</x:f>
      </x:c>
      <x:c r="S54" s="36" t="str">
        <x:f>IF(OR(F54="",G54=""),"",F54/G54)</x:f>
      </x:c>
      <x:c r="T54" s="36" t="str">
        <x:f>IF(OR(H54="",I54="",J54=""),"",0.45*H54^2/(4*PI())+0.10*I54^2/(4*PI())+0.45*J54^2/(4*PI()))</x:f>
      </x:c>
      <x:c r="U54" s="36" t="str">
        <x:f>IF(G54="","",1.1*G54*100)</x:f>
      </x:c>
      <x:c r="V54" s="36" t="str">
        <x:f>IF(OR(E54="",T54="",U54=""),"",E54*T54/U54)</x:f>
      </x:c>
      <x:c r="W54" s="37" t="str">
        <x:f>IF(OR(F54="",T54="",U54=""),"",F54*T54/U54)</x:f>
      </x:c>
    </x:row>
    <x:row r="55">
      <x:c r="A55" s="32"/>
      <x:c r="B55" s="33"/>
      <x:c r="C55" s="34"/>
      <x:c r="D55" s="34"/>
      <x:c r="E55" s="35"/>
      <x:c r="F55" s="35"/>
      <x:c r="G55" s="35"/>
      <x:c r="H55" s="35"/>
      <x:c r="I55" s="35"/>
      <x:c r="J55" s="35"/>
      <x:c r="K55" s="34"/>
      <x:c r="L55" s="34"/>
      <x:c r="M55" s="34"/>
      <x:c r="N55" s="34"/>
      <x:c r="O55" s="34"/>
      <x:c r="P55" s="34"/>
      <x:c r="Q55" s="34"/>
      <x:c r="R55" s="36" t="str">
        <x:f>IF(OR(E55="",G55=""),"",E55/G55)</x:f>
      </x:c>
      <x:c r="S55" s="36" t="str">
        <x:f>IF(OR(F55="",G55=""),"",F55/G55)</x:f>
      </x:c>
      <x:c r="T55" s="36" t="str">
        <x:f>IF(OR(H55="",I55="",J55=""),"",0.45*H55^2/(4*PI())+0.10*I55^2/(4*PI())+0.45*J55^2/(4*PI()))</x:f>
      </x:c>
      <x:c r="U55" s="36" t="str">
        <x:f>IF(G55="","",1.1*G55*100)</x:f>
      </x:c>
      <x:c r="V55" s="36" t="str">
        <x:f>IF(OR(E55="",T55="",U55=""),"",E55*T55/U55)</x:f>
      </x:c>
      <x:c r="W55" s="37" t="str">
        <x:f>IF(OR(F55="",T55="",U55=""),"",F55*T55/U55)</x:f>
      </x:c>
    </x:row>
    <x:row r="56">
      <x:c r="A56" s="32"/>
      <x:c r="B56" s="33"/>
      <x:c r="C56" s="34"/>
      <x:c r="D56" s="34"/>
      <x:c r="E56" s="35"/>
      <x:c r="F56" s="35"/>
      <x:c r="G56" s="35"/>
      <x:c r="H56" s="35"/>
      <x:c r="I56" s="35"/>
      <x:c r="J56" s="35"/>
      <x:c r="K56" s="34"/>
      <x:c r="L56" s="34"/>
      <x:c r="M56" s="34"/>
      <x:c r="N56" s="34"/>
      <x:c r="O56" s="34"/>
      <x:c r="P56" s="34"/>
      <x:c r="Q56" s="34"/>
      <x:c r="R56" s="36" t="str">
        <x:f>IF(OR(E56="",G56=""),"",E56/G56)</x:f>
      </x:c>
      <x:c r="S56" s="36" t="str">
        <x:f>IF(OR(F56="",G56=""),"",F56/G56)</x:f>
      </x:c>
      <x:c r="T56" s="36" t="str">
        <x:f>IF(OR(H56="",I56="",J56=""),"",0.45*H56^2/(4*PI())+0.10*I56^2/(4*PI())+0.45*J56^2/(4*PI()))</x:f>
      </x:c>
      <x:c r="U56" s="36" t="str">
        <x:f>IF(G56="","",1.1*G56*100)</x:f>
      </x:c>
      <x:c r="V56" s="36" t="str">
        <x:f>IF(OR(E56="",T56="",U56=""),"",E56*T56/U56)</x:f>
      </x:c>
      <x:c r="W56" s="37" t="str">
        <x:f>IF(OR(F56="",T56="",U56=""),"",F56*T56/U56)</x:f>
      </x:c>
    </x:row>
    <x:row r="57">
      <x:c r="A57" s="32"/>
      <x:c r="B57" s="33"/>
      <x:c r="C57" s="34"/>
      <x:c r="D57" s="34"/>
      <x:c r="E57" s="35"/>
      <x:c r="F57" s="35"/>
      <x:c r="G57" s="35"/>
      <x:c r="H57" s="35"/>
      <x:c r="I57" s="35"/>
      <x:c r="J57" s="35"/>
      <x:c r="K57" s="34"/>
      <x:c r="L57" s="34"/>
      <x:c r="M57" s="34"/>
      <x:c r="N57" s="34"/>
      <x:c r="O57" s="34"/>
      <x:c r="P57" s="34"/>
      <x:c r="Q57" s="34"/>
      <x:c r="R57" s="36" t="str">
        <x:f>IF(OR(E57="",G57=""),"",E57/G57)</x:f>
      </x:c>
      <x:c r="S57" s="36" t="str">
        <x:f>IF(OR(F57="",G57=""),"",F57/G57)</x:f>
      </x:c>
      <x:c r="T57" s="36" t="str">
        <x:f>IF(OR(H57="",I57="",J57=""),"",0.45*H57^2/(4*PI())+0.10*I57^2/(4*PI())+0.45*J57^2/(4*PI()))</x:f>
      </x:c>
      <x:c r="U57" s="36" t="str">
        <x:f>IF(G57="","",1.1*G57*100)</x:f>
      </x:c>
      <x:c r="V57" s="36" t="str">
        <x:f>IF(OR(E57="",T57="",U57=""),"",E57*T57/U57)</x:f>
      </x:c>
      <x:c r="W57" s="37" t="str">
        <x:f>IF(OR(F57="",T57="",U57=""),"",F57*T57/U57)</x:f>
      </x:c>
    </x:row>
    <x:row r="58">
      <x:c r="A58" s="32"/>
      <x:c r="B58" s="33"/>
      <x:c r="C58" s="34"/>
      <x:c r="D58" s="34"/>
      <x:c r="E58" s="35"/>
      <x:c r="F58" s="35"/>
      <x:c r="G58" s="35"/>
      <x:c r="H58" s="35"/>
      <x:c r="I58" s="35"/>
      <x:c r="J58" s="35"/>
      <x:c r="K58" s="34"/>
      <x:c r="L58" s="34"/>
      <x:c r="M58" s="34"/>
      <x:c r="N58" s="34"/>
      <x:c r="O58" s="34"/>
      <x:c r="P58" s="34"/>
      <x:c r="Q58" s="34"/>
      <x:c r="R58" s="36" t="str">
        <x:f>IF(OR(E58="",G58=""),"",E58/G58)</x:f>
      </x:c>
      <x:c r="S58" s="36" t="str">
        <x:f>IF(OR(F58="",G58=""),"",F58/G58)</x:f>
      </x:c>
      <x:c r="T58" s="36" t="str">
        <x:f>IF(OR(H58="",I58="",J58=""),"",0.45*H58^2/(4*PI())+0.10*I58^2/(4*PI())+0.45*J58^2/(4*PI()))</x:f>
      </x:c>
      <x:c r="U58" s="36" t="str">
        <x:f>IF(G58="","",1.1*G58*100)</x:f>
      </x:c>
      <x:c r="V58" s="36" t="str">
        <x:f>IF(OR(E58="",T58="",U58=""),"",E58*T58/U58)</x:f>
      </x:c>
      <x:c r="W58" s="37" t="str">
        <x:f>IF(OR(F58="",T58="",U58=""),"",F58*T58/U58)</x:f>
      </x:c>
    </x:row>
    <x:row r="59">
      <x:c r="A59" s="32"/>
      <x:c r="B59" s="33"/>
      <x:c r="C59" s="34"/>
      <x:c r="D59" s="34"/>
      <x:c r="E59" s="35"/>
      <x:c r="F59" s="35"/>
      <x:c r="G59" s="35"/>
      <x:c r="H59" s="35"/>
      <x:c r="I59" s="35"/>
      <x:c r="J59" s="35"/>
      <x:c r="K59" s="34"/>
      <x:c r="L59" s="34"/>
      <x:c r="M59" s="34"/>
      <x:c r="N59" s="34"/>
      <x:c r="O59" s="34"/>
      <x:c r="P59" s="34"/>
      <x:c r="Q59" s="34"/>
      <x:c r="R59" s="36" t="str">
        <x:f>IF(OR(E59="",G59=""),"",E59/G59)</x:f>
      </x:c>
      <x:c r="S59" s="36" t="str">
        <x:f>IF(OR(F59="",G59=""),"",F59/G59)</x:f>
      </x:c>
      <x:c r="T59" s="36" t="str">
        <x:f>IF(OR(H59="",I59="",J59=""),"",0.45*H59^2/(4*PI())+0.10*I59^2/(4*PI())+0.45*J59^2/(4*PI()))</x:f>
      </x:c>
      <x:c r="U59" s="36" t="str">
        <x:f>IF(G59="","",1.1*G59*100)</x:f>
      </x:c>
      <x:c r="V59" s="36" t="str">
        <x:f>IF(OR(E59="",T59="",U59=""),"",E59*T59/U59)</x:f>
      </x:c>
      <x:c r="W59" s="37" t="str">
        <x:f>IF(OR(F59="",T59="",U59=""),"",F59*T59/U59)</x:f>
      </x:c>
    </x:row>
    <x:row r="60">
      <x:c r="A60" s="32"/>
      <x:c r="B60" s="33"/>
      <x:c r="C60" s="34"/>
      <x:c r="D60" s="34"/>
      <x:c r="E60" s="35"/>
      <x:c r="F60" s="35"/>
      <x:c r="G60" s="35"/>
      <x:c r="H60" s="35"/>
      <x:c r="I60" s="35"/>
      <x:c r="J60" s="35"/>
      <x:c r="K60" s="34"/>
      <x:c r="L60" s="34"/>
      <x:c r="M60" s="34"/>
      <x:c r="N60" s="34"/>
      <x:c r="O60" s="34"/>
      <x:c r="P60" s="34"/>
      <x:c r="Q60" s="34"/>
      <x:c r="R60" s="36" t="str">
        <x:f>IF(OR(E60="",G60=""),"",E60/G60)</x:f>
      </x:c>
      <x:c r="S60" s="36" t="str">
        <x:f>IF(OR(F60="",G60=""),"",F60/G60)</x:f>
      </x:c>
      <x:c r="T60" s="36" t="str">
        <x:f>IF(OR(H60="",I60="",J60=""),"",0.45*H60^2/(4*PI())+0.10*I60^2/(4*PI())+0.45*J60^2/(4*PI()))</x:f>
      </x:c>
      <x:c r="U60" s="36" t="str">
        <x:f>IF(G60="","",1.1*G60*100)</x:f>
      </x:c>
      <x:c r="V60" s="36" t="str">
        <x:f>IF(OR(E60="",T60="",U60=""),"",E60*T60/U60)</x:f>
      </x:c>
      <x:c r="W60" s="37" t="str">
        <x:f>IF(OR(F60="",T60="",U60=""),"",F60*T60/U60)</x:f>
      </x:c>
    </x:row>
    <x:row r="61">
      <x:c r="A61" s="32"/>
      <x:c r="B61" s="33"/>
      <x:c r="C61" s="34"/>
      <x:c r="D61" s="34"/>
      <x:c r="E61" s="35"/>
      <x:c r="F61" s="35"/>
      <x:c r="G61" s="35"/>
      <x:c r="H61" s="35"/>
      <x:c r="I61" s="35"/>
      <x:c r="J61" s="35"/>
      <x:c r="K61" s="34"/>
      <x:c r="L61" s="34"/>
      <x:c r="M61" s="34"/>
      <x:c r="N61" s="34"/>
      <x:c r="O61" s="34"/>
      <x:c r="P61" s="34"/>
      <x:c r="Q61" s="34"/>
      <x:c r="R61" s="36" t="str">
        <x:f>IF(OR(E61="",G61=""),"",E61/G61)</x:f>
      </x:c>
      <x:c r="S61" s="36" t="str">
        <x:f>IF(OR(F61="",G61=""),"",F61/G61)</x:f>
      </x:c>
      <x:c r="T61" s="36" t="str">
        <x:f>IF(OR(H61="",I61="",J61=""),"",0.45*H61^2/(4*PI())+0.10*I61^2/(4*PI())+0.45*J61^2/(4*PI()))</x:f>
      </x:c>
      <x:c r="U61" s="36" t="str">
        <x:f>IF(G61="","",1.1*G61*100)</x:f>
      </x:c>
      <x:c r="V61" s="36" t="str">
        <x:f>IF(OR(E61="",T61="",U61=""),"",E61*T61/U61)</x:f>
      </x:c>
      <x:c r="W61" s="37" t="str">
        <x:f>IF(OR(F61="",T61="",U61=""),"",F61*T61/U61)</x:f>
      </x:c>
    </x:row>
    <x:row r="62">
      <x:c r="A62" s="32"/>
      <x:c r="B62" s="33"/>
      <x:c r="C62" s="34"/>
      <x:c r="D62" s="34"/>
      <x:c r="E62" s="35"/>
      <x:c r="F62" s="35"/>
      <x:c r="G62" s="35"/>
      <x:c r="H62" s="35"/>
      <x:c r="I62" s="35"/>
      <x:c r="J62" s="35"/>
      <x:c r="K62" s="34"/>
      <x:c r="L62" s="34"/>
      <x:c r="M62" s="34"/>
      <x:c r="N62" s="34"/>
      <x:c r="O62" s="34"/>
      <x:c r="P62" s="34"/>
      <x:c r="Q62" s="34"/>
      <x:c r="R62" s="36" t="str">
        <x:f>IF(OR(E62="",G62=""),"",E62/G62)</x:f>
      </x:c>
      <x:c r="S62" s="36" t="str">
        <x:f>IF(OR(F62="",G62=""),"",F62/G62)</x:f>
      </x:c>
      <x:c r="T62" s="36" t="str">
        <x:f>IF(OR(H62="",I62="",J62=""),"",0.45*H62^2/(4*PI())+0.10*I62^2/(4*PI())+0.45*J62^2/(4*PI()))</x:f>
      </x:c>
      <x:c r="U62" s="36" t="str">
        <x:f>IF(G62="","",1.1*G62*100)</x:f>
      </x:c>
      <x:c r="V62" s="36" t="str">
        <x:f>IF(OR(E62="",T62="",U62=""),"",E62*T62/U62)</x:f>
      </x:c>
      <x:c r="W62" s="37" t="str">
        <x:f>IF(OR(F62="",T62="",U62=""),"",F62*T62/U62)</x:f>
      </x:c>
    </x:row>
    <x:row r="63">
      <x:c r="A63" s="32"/>
      <x:c r="B63" s="33"/>
      <x:c r="C63" s="34"/>
      <x:c r="D63" s="34"/>
      <x:c r="E63" s="35"/>
      <x:c r="F63" s="35"/>
      <x:c r="G63" s="35"/>
      <x:c r="H63" s="35"/>
      <x:c r="I63" s="35"/>
      <x:c r="J63" s="35"/>
      <x:c r="K63" s="34"/>
      <x:c r="L63" s="34"/>
      <x:c r="M63" s="34"/>
      <x:c r="N63" s="34"/>
      <x:c r="O63" s="34"/>
      <x:c r="P63" s="34"/>
      <x:c r="Q63" s="34"/>
      <x:c r="R63" s="36" t="str">
        <x:f>IF(OR(E63="",G63=""),"",E63/G63)</x:f>
      </x:c>
      <x:c r="S63" s="36" t="str">
        <x:f>IF(OR(F63="",G63=""),"",F63/G63)</x:f>
      </x:c>
      <x:c r="T63" s="36" t="str">
        <x:f>IF(OR(H63="",I63="",J63=""),"",0.45*H63^2/(4*PI())+0.10*I63^2/(4*PI())+0.45*J63^2/(4*PI()))</x:f>
      </x:c>
      <x:c r="U63" s="36" t="str">
        <x:f>IF(G63="","",1.1*G63*100)</x:f>
      </x:c>
      <x:c r="V63" s="36" t="str">
        <x:f>IF(OR(E63="",T63="",U63=""),"",E63*T63/U63)</x:f>
      </x:c>
      <x:c r="W63" s="37" t="str">
        <x:f>IF(OR(F63="",T63="",U63=""),"",F63*T63/U63)</x:f>
      </x:c>
    </x:row>
    <x:row r="64">
      <x:c r="A64" s="32"/>
      <x:c r="B64" s="33"/>
      <x:c r="C64" s="34"/>
      <x:c r="D64" s="34"/>
      <x:c r="E64" s="35"/>
      <x:c r="F64" s="35"/>
      <x:c r="G64" s="35"/>
      <x:c r="H64" s="35"/>
      <x:c r="I64" s="35"/>
      <x:c r="J64" s="35"/>
      <x:c r="K64" s="34"/>
      <x:c r="L64" s="34"/>
      <x:c r="M64" s="34"/>
      <x:c r="N64" s="34"/>
      <x:c r="O64" s="34"/>
      <x:c r="P64" s="34"/>
      <x:c r="Q64" s="34"/>
      <x:c r="R64" s="36" t="str">
        <x:f>IF(OR(E64="",G64=""),"",E64/G64)</x:f>
      </x:c>
      <x:c r="S64" s="36" t="str">
        <x:f>IF(OR(F64="",G64=""),"",F64/G64)</x:f>
      </x:c>
      <x:c r="T64" s="36" t="str">
        <x:f>IF(OR(H64="",I64="",J64=""),"",0.45*H64^2/(4*PI())+0.10*I64^2/(4*PI())+0.45*J64^2/(4*PI()))</x:f>
      </x:c>
      <x:c r="U64" s="36" t="str">
        <x:f>IF(G64="","",1.1*G64*100)</x:f>
      </x:c>
      <x:c r="V64" s="36" t="str">
        <x:f>IF(OR(E64="",T64="",U64=""),"",E64*T64/U64)</x:f>
      </x:c>
      <x:c r="W64" s="37" t="str">
        <x:f>IF(OR(F64="",T64="",U64=""),"",F64*T64/U64)</x:f>
      </x:c>
    </x:row>
    <x:row r="65">
      <x:c r="A65" s="32"/>
      <x:c r="B65" s="33"/>
      <x:c r="C65" s="34"/>
      <x:c r="D65" s="34"/>
      <x:c r="E65" s="35"/>
      <x:c r="F65" s="35"/>
      <x:c r="G65" s="35"/>
      <x:c r="H65" s="35"/>
      <x:c r="I65" s="35"/>
      <x:c r="J65" s="35"/>
      <x:c r="K65" s="34"/>
      <x:c r="L65" s="34"/>
      <x:c r="M65" s="34"/>
      <x:c r="N65" s="34"/>
      <x:c r="O65" s="34"/>
      <x:c r="P65" s="34"/>
      <x:c r="Q65" s="34"/>
      <x:c r="R65" s="36" t="str">
        <x:f>IF(OR(E65="",G65=""),"",E65/G65)</x:f>
      </x:c>
      <x:c r="S65" s="36" t="str">
        <x:f>IF(OR(F65="",G65=""),"",F65/G65)</x:f>
      </x:c>
      <x:c r="T65" s="36" t="str">
        <x:f>IF(OR(H65="",I65="",J65=""),"",0.45*H65^2/(4*PI())+0.10*I65^2/(4*PI())+0.45*J65^2/(4*PI()))</x:f>
      </x:c>
      <x:c r="U65" s="36" t="str">
        <x:f>IF(G65="","",1.1*G65*100)</x:f>
      </x:c>
      <x:c r="V65" s="36" t="str">
        <x:f>IF(OR(E65="",T65="",U65=""),"",E65*T65/U65)</x:f>
      </x:c>
      <x:c r="W65" s="37" t="str">
        <x:f>IF(OR(F65="",T65="",U65=""),"",F65*T65/U65)</x:f>
      </x:c>
    </x:row>
    <x:row r="66">
      <x:c r="A66" s="32"/>
      <x:c r="B66" s="33"/>
      <x:c r="C66" s="34"/>
      <x:c r="D66" s="34"/>
      <x:c r="E66" s="35"/>
      <x:c r="F66" s="35"/>
      <x:c r="G66" s="35"/>
      <x:c r="H66" s="35"/>
      <x:c r="I66" s="35"/>
      <x:c r="J66" s="35"/>
      <x:c r="K66" s="34"/>
      <x:c r="L66" s="34"/>
      <x:c r="M66" s="34"/>
      <x:c r="N66" s="34"/>
      <x:c r="O66" s="34"/>
      <x:c r="P66" s="34"/>
      <x:c r="Q66" s="34"/>
      <x:c r="R66" s="36" t="str">
        <x:f>IF(OR(E66="",G66=""),"",E66/G66)</x:f>
      </x:c>
      <x:c r="S66" s="36" t="str">
        <x:f>IF(OR(F66="",G66=""),"",F66/G66)</x:f>
      </x:c>
      <x:c r="T66" s="36" t="str">
        <x:f>IF(OR(H66="",I66="",J66=""),"",0.45*H66^2/(4*PI())+0.10*I66^2/(4*PI())+0.45*J66^2/(4*PI()))</x:f>
      </x:c>
      <x:c r="U66" s="36" t="str">
        <x:f>IF(G66="","",1.1*G66*100)</x:f>
      </x:c>
      <x:c r="V66" s="36" t="str">
        <x:f>IF(OR(E66="",T66="",U66=""),"",E66*T66/U66)</x:f>
      </x:c>
      <x:c r="W66" s="37" t="str">
        <x:f>IF(OR(F66="",T66="",U66=""),"",F66*T66/U66)</x:f>
      </x:c>
    </x:row>
    <x:row r="67">
      <x:c r="A67" s="32"/>
      <x:c r="B67" s="33"/>
      <x:c r="C67" s="34"/>
      <x:c r="D67" s="34"/>
      <x:c r="E67" s="35"/>
      <x:c r="F67" s="35"/>
      <x:c r="G67" s="35"/>
      <x:c r="H67" s="35"/>
      <x:c r="I67" s="35"/>
      <x:c r="J67" s="35"/>
      <x:c r="K67" s="34"/>
      <x:c r="L67" s="34"/>
      <x:c r="M67" s="34"/>
      <x:c r="N67" s="34"/>
      <x:c r="O67" s="34"/>
      <x:c r="P67" s="34"/>
      <x:c r="Q67" s="34"/>
      <x:c r="R67" s="36" t="str">
        <x:f>IF(OR(E67="",G67=""),"",E67/G67)</x:f>
      </x:c>
      <x:c r="S67" s="36" t="str">
        <x:f>IF(OR(F67="",G67=""),"",F67/G67)</x:f>
      </x:c>
      <x:c r="T67" s="36" t="str">
        <x:f>IF(OR(H67="",I67="",J67=""),"",0.45*H67^2/(4*PI())+0.10*I67^2/(4*PI())+0.45*J67^2/(4*PI()))</x:f>
      </x:c>
      <x:c r="U67" s="36" t="str">
        <x:f>IF(G67="","",1.1*G67*100)</x:f>
      </x:c>
      <x:c r="V67" s="36" t="str">
        <x:f>IF(OR(E67="",T67="",U67=""),"",E67*T67/U67)</x:f>
      </x:c>
      <x:c r="W67" s="37" t="str">
        <x:f>IF(OR(F67="",T67="",U67=""),"",F67*T67/U67)</x:f>
      </x:c>
    </x:row>
    <x:row r="68">
      <x:c r="A68" s="32"/>
      <x:c r="B68" s="33"/>
      <x:c r="C68" s="34"/>
      <x:c r="D68" s="34"/>
      <x:c r="E68" s="35"/>
      <x:c r="F68" s="35"/>
      <x:c r="G68" s="35"/>
      <x:c r="H68" s="35"/>
      <x:c r="I68" s="35"/>
      <x:c r="J68" s="35"/>
      <x:c r="K68" s="34"/>
      <x:c r="L68" s="34"/>
      <x:c r="M68" s="34"/>
      <x:c r="N68" s="34"/>
      <x:c r="O68" s="34"/>
      <x:c r="P68" s="34"/>
      <x:c r="Q68" s="34"/>
      <x:c r="R68" s="36" t="str">
        <x:f>IF(OR(E68="",G68=""),"",E68/G68)</x:f>
      </x:c>
      <x:c r="S68" s="36" t="str">
        <x:f>IF(OR(F68="",G68=""),"",F68/G68)</x:f>
      </x:c>
      <x:c r="T68" s="36" t="str">
        <x:f>IF(OR(H68="",I68="",J68=""),"",0.45*H68^2/(4*PI())+0.10*I68^2/(4*PI())+0.45*J68^2/(4*PI()))</x:f>
      </x:c>
      <x:c r="U68" s="36" t="str">
        <x:f>IF(G68="","",1.1*G68*100)</x:f>
      </x:c>
      <x:c r="V68" s="36" t="str">
        <x:f>IF(OR(E68="",T68="",U68=""),"",E68*T68/U68)</x:f>
      </x:c>
      <x:c r="W68" s="37" t="str">
        <x:f>IF(OR(F68="",T68="",U68=""),"",F68*T68/U68)</x:f>
      </x:c>
    </x:row>
    <x:row r="69">
      <x:c r="A69" s="32"/>
      <x:c r="B69" s="33"/>
      <x:c r="C69" s="34"/>
      <x:c r="D69" s="34"/>
      <x:c r="E69" s="35"/>
      <x:c r="F69" s="35"/>
      <x:c r="G69" s="35"/>
      <x:c r="H69" s="35"/>
      <x:c r="I69" s="35"/>
      <x:c r="J69" s="35"/>
      <x:c r="K69" s="34"/>
      <x:c r="L69" s="34"/>
      <x:c r="M69" s="34"/>
      <x:c r="N69" s="34"/>
      <x:c r="O69" s="34"/>
      <x:c r="P69" s="34"/>
      <x:c r="Q69" s="34"/>
      <x:c r="R69" s="36" t="str">
        <x:f>IF(OR(E69="",G69=""),"",E69/G69)</x:f>
      </x:c>
      <x:c r="S69" s="36" t="str">
        <x:f>IF(OR(F69="",G69=""),"",F69/G69)</x:f>
      </x:c>
      <x:c r="T69" s="36" t="str">
        <x:f>IF(OR(H69="",I69="",J69=""),"",0.45*H69^2/(4*PI())+0.10*I69^2/(4*PI())+0.45*J69^2/(4*PI()))</x:f>
      </x:c>
      <x:c r="U69" s="36" t="str">
        <x:f>IF(G69="","",1.1*G69*100)</x:f>
      </x:c>
      <x:c r="V69" s="36" t="str">
        <x:f>IF(OR(E69="",T69="",U69=""),"",E69*T69/U69)</x:f>
      </x:c>
      <x:c r="W69" s="37" t="str">
        <x:f>IF(OR(F69="",T69="",U69=""),"",F69*T69/U69)</x:f>
      </x:c>
    </x:row>
    <x:row r="70">
      <x:c r="A70" s="32"/>
      <x:c r="B70" s="33"/>
      <x:c r="C70" s="34"/>
      <x:c r="D70" s="34"/>
      <x:c r="E70" s="35"/>
      <x:c r="F70" s="35"/>
      <x:c r="G70" s="35"/>
      <x:c r="H70" s="35"/>
      <x:c r="I70" s="35"/>
      <x:c r="J70" s="35"/>
      <x:c r="K70" s="34"/>
      <x:c r="L70" s="34"/>
      <x:c r="M70" s="34"/>
      <x:c r="N70" s="34"/>
      <x:c r="O70" s="34"/>
      <x:c r="P70" s="34"/>
      <x:c r="Q70" s="34"/>
      <x:c r="R70" s="36" t="str">
        <x:f>IF(OR(E70="",G70=""),"",E70/G70)</x:f>
      </x:c>
      <x:c r="S70" s="36" t="str">
        <x:f>IF(OR(F70="",G70=""),"",F70/G70)</x:f>
      </x:c>
      <x:c r="T70" s="36" t="str">
        <x:f>IF(OR(H70="",I70="",J70=""),"",0.45*H70^2/(4*PI())+0.10*I70^2/(4*PI())+0.45*J70^2/(4*PI()))</x:f>
      </x:c>
      <x:c r="U70" s="36" t="str">
        <x:f>IF(G70="","",1.1*G70*100)</x:f>
      </x:c>
      <x:c r="V70" s="36" t="str">
        <x:f>IF(OR(E70="",T70="",U70=""),"",E70*T70/U70)</x:f>
      </x:c>
      <x:c r="W70" s="37" t="str">
        <x:f>IF(OR(F70="",T70="",U70=""),"",F70*T70/U70)</x:f>
      </x:c>
    </x:row>
    <x:row r="71">
      <x:c r="A71" s="32"/>
      <x:c r="B71" s="33"/>
      <x:c r="C71" s="34"/>
      <x:c r="D71" s="34"/>
      <x:c r="E71" s="35"/>
      <x:c r="F71" s="35"/>
      <x:c r="G71" s="35"/>
      <x:c r="H71" s="35"/>
      <x:c r="I71" s="35"/>
      <x:c r="J71" s="35"/>
      <x:c r="K71" s="34"/>
      <x:c r="L71" s="34"/>
      <x:c r="M71" s="34"/>
      <x:c r="N71" s="34"/>
      <x:c r="O71" s="34"/>
      <x:c r="P71" s="34"/>
      <x:c r="Q71" s="34"/>
      <x:c r="R71" s="36" t="str">
        <x:f>IF(OR(E71="",G71=""),"",E71/G71)</x:f>
      </x:c>
      <x:c r="S71" s="36" t="str">
        <x:f>IF(OR(F71="",G71=""),"",F71/G71)</x:f>
      </x:c>
      <x:c r="T71" s="36" t="str">
        <x:f>IF(OR(H71="",I71="",J71=""),"",0.45*H71^2/(4*PI())+0.10*I71^2/(4*PI())+0.45*J71^2/(4*PI()))</x:f>
      </x:c>
      <x:c r="U71" s="36" t="str">
        <x:f>IF(G71="","",1.1*G71*100)</x:f>
      </x:c>
      <x:c r="V71" s="36" t="str">
        <x:f>IF(OR(E71="",T71="",U71=""),"",E71*T71/U71)</x:f>
      </x:c>
      <x:c r="W71" s="37" t="str">
        <x:f>IF(OR(F71="",T71="",U71=""),"",F71*T71/U71)</x:f>
      </x:c>
    </x:row>
    <x:row r="72">
      <x:c r="A72" s="32"/>
      <x:c r="B72" s="33"/>
      <x:c r="C72" s="34"/>
      <x:c r="D72" s="34"/>
      <x:c r="E72" s="35"/>
      <x:c r="F72" s="35"/>
      <x:c r="G72" s="35"/>
      <x:c r="H72" s="35"/>
      <x:c r="I72" s="35"/>
      <x:c r="J72" s="35"/>
      <x:c r="K72" s="34"/>
      <x:c r="L72" s="34"/>
      <x:c r="M72" s="34"/>
      <x:c r="N72" s="34"/>
      <x:c r="O72" s="34"/>
      <x:c r="P72" s="34"/>
      <x:c r="Q72" s="34"/>
      <x:c r="R72" s="36" t="str">
        <x:f>IF(OR(E72="",G72=""),"",E72/G72)</x:f>
      </x:c>
      <x:c r="S72" s="36" t="str">
        <x:f>IF(OR(F72="",G72=""),"",F72/G72)</x:f>
      </x:c>
      <x:c r="T72" s="36" t="str">
        <x:f>IF(OR(H72="",I72="",J72=""),"",0.45*H72^2/(4*PI())+0.10*I72^2/(4*PI())+0.45*J72^2/(4*PI()))</x:f>
      </x:c>
      <x:c r="U72" s="36" t="str">
        <x:f>IF(G72="","",1.1*G72*100)</x:f>
      </x:c>
      <x:c r="V72" s="36" t="str">
        <x:f>IF(OR(E72="",T72="",U72=""),"",E72*T72/U72)</x:f>
      </x:c>
      <x:c r="W72" s="37" t="str">
        <x:f>IF(OR(F72="",T72="",U72=""),"",F72*T72/U72)</x:f>
      </x:c>
    </x:row>
    <x:row r="73">
      <x:c r="A73" s="32"/>
      <x:c r="B73" s="33"/>
      <x:c r="C73" s="34"/>
      <x:c r="D73" s="34"/>
      <x:c r="E73" s="35"/>
      <x:c r="F73" s="35"/>
      <x:c r="G73" s="35"/>
      <x:c r="H73" s="35"/>
      <x:c r="I73" s="35"/>
      <x:c r="J73" s="35"/>
      <x:c r="K73" s="34"/>
      <x:c r="L73" s="34"/>
      <x:c r="M73" s="34"/>
      <x:c r="N73" s="34"/>
      <x:c r="O73" s="34"/>
      <x:c r="P73" s="34"/>
      <x:c r="Q73" s="34"/>
      <x:c r="R73" s="36" t="str">
        <x:f>IF(OR(E73="",G73=""),"",E73/G73)</x:f>
      </x:c>
      <x:c r="S73" s="36" t="str">
        <x:f>IF(OR(F73="",G73=""),"",F73/G73)</x:f>
      </x:c>
      <x:c r="T73" s="36" t="str">
        <x:f>IF(OR(H73="",I73="",J73=""),"",0.45*H73^2/(4*PI())+0.10*I73^2/(4*PI())+0.45*J73^2/(4*PI()))</x:f>
      </x:c>
      <x:c r="U73" s="36" t="str">
        <x:f>IF(G73="","",1.1*G73*100)</x:f>
      </x:c>
      <x:c r="V73" s="36" t="str">
        <x:f>IF(OR(E73="",T73="",U73=""),"",E73*T73/U73)</x:f>
      </x:c>
      <x:c r="W73" s="37" t="str">
        <x:f>IF(OR(F73="",T73="",U73=""),"",F73*T73/U73)</x:f>
      </x:c>
    </x:row>
    <x:row r="74">
      <x:c r="A74" s="32"/>
      <x:c r="B74" s="33"/>
      <x:c r="C74" s="34"/>
      <x:c r="D74" s="34"/>
      <x:c r="E74" s="35"/>
      <x:c r="F74" s="35"/>
      <x:c r="G74" s="35"/>
      <x:c r="H74" s="35"/>
      <x:c r="I74" s="35"/>
      <x:c r="J74" s="35"/>
      <x:c r="K74" s="34"/>
      <x:c r="L74" s="34"/>
      <x:c r="M74" s="34"/>
      <x:c r="N74" s="34"/>
      <x:c r="O74" s="34"/>
      <x:c r="P74" s="34"/>
      <x:c r="Q74" s="34"/>
      <x:c r="R74" s="36" t="str">
        <x:f>IF(OR(E74="",G74=""),"",E74/G74)</x:f>
      </x:c>
      <x:c r="S74" s="36" t="str">
        <x:f>IF(OR(F74="",G74=""),"",F74/G74)</x:f>
      </x:c>
      <x:c r="T74" s="36" t="str">
        <x:f>IF(OR(H74="",I74="",J74=""),"",0.45*H74^2/(4*PI())+0.10*I74^2/(4*PI())+0.45*J74^2/(4*PI()))</x:f>
      </x:c>
      <x:c r="U74" s="36" t="str">
        <x:f>IF(G74="","",1.1*G74*100)</x:f>
      </x:c>
      <x:c r="V74" s="36" t="str">
        <x:f>IF(OR(E74="",T74="",U74=""),"",E74*T74/U74)</x:f>
      </x:c>
      <x:c r="W74" s="37" t="str">
        <x:f>IF(OR(F74="",T74="",U74=""),"",F74*T74/U74)</x:f>
      </x:c>
    </x:row>
    <x:row r="75">
      <x:c r="A75" s="32"/>
      <x:c r="B75" s="33"/>
      <x:c r="C75" s="34"/>
      <x:c r="D75" s="34"/>
      <x:c r="E75" s="35"/>
      <x:c r="F75" s="35"/>
      <x:c r="G75" s="35"/>
      <x:c r="H75" s="35"/>
      <x:c r="I75" s="35"/>
      <x:c r="J75" s="35"/>
      <x:c r="K75" s="34"/>
      <x:c r="L75" s="34"/>
      <x:c r="M75" s="34"/>
      <x:c r="N75" s="34"/>
      <x:c r="O75" s="34"/>
      <x:c r="P75" s="34"/>
      <x:c r="Q75" s="34"/>
      <x:c r="R75" s="36" t="str">
        <x:f>IF(OR(E75="",G75=""),"",E75/G75)</x:f>
      </x:c>
      <x:c r="S75" s="36" t="str">
        <x:f>IF(OR(F75="",G75=""),"",F75/G75)</x:f>
      </x:c>
      <x:c r="T75" s="36" t="str">
        <x:f>IF(OR(H75="",I75="",J75=""),"",0.45*H75^2/(4*PI())+0.10*I75^2/(4*PI())+0.45*J75^2/(4*PI()))</x:f>
      </x:c>
      <x:c r="U75" s="36" t="str">
        <x:f>IF(G75="","",1.1*G75*100)</x:f>
      </x:c>
      <x:c r="V75" s="36" t="str">
        <x:f>IF(OR(E75="",T75="",U75=""),"",E75*T75/U75)</x:f>
      </x:c>
      <x:c r="W75" s="37" t="str">
        <x:f>IF(OR(F75="",T75="",U75=""),"",F75*T75/U75)</x:f>
      </x:c>
    </x:row>
    <x:row r="76">
      <x:c r="A76" s="32"/>
      <x:c r="B76" s="33"/>
      <x:c r="C76" s="34"/>
      <x:c r="D76" s="34"/>
      <x:c r="E76" s="35"/>
      <x:c r="F76" s="35"/>
      <x:c r="G76" s="35"/>
      <x:c r="H76" s="35"/>
      <x:c r="I76" s="35"/>
      <x:c r="J76" s="35"/>
      <x:c r="K76" s="34"/>
      <x:c r="L76" s="34"/>
      <x:c r="M76" s="34"/>
      <x:c r="N76" s="34"/>
      <x:c r="O76" s="34"/>
      <x:c r="P76" s="34"/>
      <x:c r="Q76" s="34"/>
      <x:c r="R76" s="36" t="str">
        <x:f>IF(OR(E76="",G76=""),"",E76/G76)</x:f>
      </x:c>
      <x:c r="S76" s="36" t="str">
        <x:f>IF(OR(F76="",G76=""),"",F76/G76)</x:f>
      </x:c>
      <x:c r="T76" s="36" t="str">
        <x:f>IF(OR(H76="",I76="",J76=""),"",0.45*H76^2/(4*PI())+0.10*I76^2/(4*PI())+0.45*J76^2/(4*PI()))</x:f>
      </x:c>
      <x:c r="U76" s="36" t="str">
        <x:f>IF(G76="","",1.1*G76*100)</x:f>
      </x:c>
      <x:c r="V76" s="36" t="str">
        <x:f>IF(OR(E76="",T76="",U76=""),"",E76*T76/U76)</x:f>
      </x:c>
      <x:c r="W76" s="37" t="str">
        <x:f>IF(OR(F76="",T76="",U76=""),"",F76*T76/U76)</x:f>
      </x:c>
    </x:row>
    <x:row r="77">
      <x:c r="A77" s="32"/>
      <x:c r="B77" s="33"/>
      <x:c r="C77" s="34"/>
      <x:c r="D77" s="34"/>
      <x:c r="E77" s="35"/>
      <x:c r="F77" s="35"/>
      <x:c r="G77" s="35"/>
      <x:c r="H77" s="35"/>
      <x:c r="I77" s="35"/>
      <x:c r="J77" s="35"/>
      <x:c r="K77" s="34"/>
      <x:c r="L77" s="34"/>
      <x:c r="M77" s="34"/>
      <x:c r="N77" s="34"/>
      <x:c r="O77" s="34"/>
      <x:c r="P77" s="34"/>
      <x:c r="Q77" s="34"/>
      <x:c r="R77" s="36" t="str">
        <x:f>IF(OR(E77="",G77=""),"",E77/G77)</x:f>
      </x:c>
      <x:c r="S77" s="36" t="str">
        <x:f>IF(OR(F77="",G77=""),"",F77/G77)</x:f>
      </x:c>
      <x:c r="T77" s="36" t="str">
        <x:f>IF(OR(H77="",I77="",J77=""),"",0.45*H77^2/(4*PI())+0.10*I77^2/(4*PI())+0.45*J77^2/(4*PI()))</x:f>
      </x:c>
      <x:c r="U77" s="36" t="str">
        <x:f>IF(G77="","",1.1*G77*100)</x:f>
      </x:c>
      <x:c r="V77" s="36" t="str">
        <x:f>IF(OR(E77="",T77="",U77=""),"",E77*T77/U77)</x:f>
      </x:c>
      <x:c r="W77" s="37" t="str">
        <x:f>IF(OR(F77="",T77="",U77=""),"",F77*T77/U77)</x:f>
      </x:c>
    </x:row>
    <x:row r="78">
      <x:c r="A78" s="32"/>
      <x:c r="B78" s="33"/>
      <x:c r="C78" s="34"/>
      <x:c r="D78" s="34"/>
      <x:c r="E78" s="35"/>
      <x:c r="F78" s="35"/>
      <x:c r="G78" s="35"/>
      <x:c r="H78" s="35"/>
      <x:c r="I78" s="35"/>
      <x:c r="J78" s="35"/>
      <x:c r="K78" s="34"/>
      <x:c r="L78" s="34"/>
      <x:c r="M78" s="34"/>
      <x:c r="N78" s="34"/>
      <x:c r="O78" s="34"/>
      <x:c r="P78" s="34"/>
      <x:c r="Q78" s="34"/>
      <x:c r="R78" s="36" t="str">
        <x:f>IF(OR(E78="",G78=""),"",E78/G78)</x:f>
      </x:c>
      <x:c r="S78" s="36" t="str">
        <x:f>IF(OR(F78="",G78=""),"",F78/G78)</x:f>
      </x:c>
      <x:c r="T78" s="36" t="str">
        <x:f>IF(OR(H78="",I78="",J78=""),"",0.45*H78^2/(4*PI())+0.10*I78^2/(4*PI())+0.45*J78^2/(4*PI()))</x:f>
      </x:c>
      <x:c r="U78" s="36" t="str">
        <x:f>IF(G78="","",1.1*G78*100)</x:f>
      </x:c>
      <x:c r="V78" s="36" t="str">
        <x:f>IF(OR(E78="",T78="",U78=""),"",E78*T78/U78)</x:f>
      </x:c>
      <x:c r="W78" s="37" t="str">
        <x:f>IF(OR(F78="",T78="",U78=""),"",F78*T78/U78)</x:f>
      </x:c>
    </x:row>
    <x:row r="79">
      <x:c r="A79" s="32"/>
      <x:c r="B79" s="33"/>
      <x:c r="C79" s="34"/>
      <x:c r="D79" s="34"/>
      <x:c r="E79" s="35"/>
      <x:c r="F79" s="35"/>
      <x:c r="G79" s="35"/>
      <x:c r="H79" s="35"/>
      <x:c r="I79" s="35"/>
      <x:c r="J79" s="35"/>
      <x:c r="K79" s="34"/>
      <x:c r="L79" s="34"/>
      <x:c r="M79" s="34"/>
      <x:c r="N79" s="34"/>
      <x:c r="O79" s="34"/>
      <x:c r="P79" s="34"/>
      <x:c r="Q79" s="34"/>
      <x:c r="R79" s="36" t="str">
        <x:f>IF(OR(E79="",G79=""),"",E79/G79)</x:f>
      </x:c>
      <x:c r="S79" s="36" t="str">
        <x:f>IF(OR(F79="",G79=""),"",F79/G79)</x:f>
      </x:c>
      <x:c r="T79" s="36" t="str">
        <x:f>IF(OR(H79="",I79="",J79=""),"",0.45*H79^2/(4*PI())+0.10*I79^2/(4*PI())+0.45*J79^2/(4*PI()))</x:f>
      </x:c>
      <x:c r="U79" s="36" t="str">
        <x:f>IF(G79="","",1.1*G79*100)</x:f>
      </x:c>
      <x:c r="V79" s="36" t="str">
        <x:f>IF(OR(E79="",T79="",U79=""),"",E79*T79/U79)</x:f>
      </x:c>
      <x:c r="W79" s="37" t="str">
        <x:f>IF(OR(F79="",T79="",U79=""),"",F79*T79/U79)</x:f>
      </x:c>
    </x:row>
    <x:row r="80">
      <x:c r="A80" s="32"/>
      <x:c r="B80" s="33"/>
      <x:c r="C80" s="34"/>
      <x:c r="D80" s="34"/>
      <x:c r="E80" s="35"/>
      <x:c r="F80" s="35"/>
      <x:c r="G80" s="35"/>
      <x:c r="H80" s="35"/>
      <x:c r="I80" s="35"/>
      <x:c r="J80" s="35"/>
      <x:c r="K80" s="34"/>
      <x:c r="L80" s="34"/>
      <x:c r="M80" s="34"/>
      <x:c r="N80" s="34"/>
      <x:c r="O80" s="34"/>
      <x:c r="P80" s="34"/>
      <x:c r="Q80" s="34"/>
      <x:c r="R80" s="36" t="str">
        <x:f>IF(OR(E80="",G80=""),"",E80/G80)</x:f>
      </x:c>
      <x:c r="S80" s="36" t="str">
        <x:f>IF(OR(F80="",G80=""),"",F80/G80)</x:f>
      </x:c>
      <x:c r="T80" s="36" t="str">
        <x:f>IF(OR(H80="",I80="",J80=""),"",0.45*H80^2/(4*PI())+0.10*I80^2/(4*PI())+0.45*J80^2/(4*PI()))</x:f>
      </x:c>
      <x:c r="U80" s="36" t="str">
        <x:f>IF(G80="","",1.1*G80*100)</x:f>
      </x:c>
      <x:c r="V80" s="36" t="str">
        <x:f>IF(OR(E80="",T80="",U80=""),"",E80*T80/U80)</x:f>
      </x:c>
      <x:c r="W80" s="37" t="str">
        <x:f>IF(OR(F80="",T80="",U80=""),"",F80*T80/U80)</x:f>
      </x:c>
    </x:row>
    <x:row r="81">
      <x:c r="A81" s="32"/>
      <x:c r="B81" s="33"/>
      <x:c r="C81" s="34"/>
      <x:c r="D81" s="34"/>
      <x:c r="E81" s="35"/>
      <x:c r="F81" s="35"/>
      <x:c r="G81" s="35"/>
      <x:c r="H81" s="35"/>
      <x:c r="I81" s="35"/>
      <x:c r="J81" s="35"/>
      <x:c r="K81" s="34"/>
      <x:c r="L81" s="34"/>
      <x:c r="M81" s="34"/>
      <x:c r="N81" s="34"/>
      <x:c r="O81" s="34"/>
      <x:c r="P81" s="34"/>
      <x:c r="Q81" s="34"/>
      <x:c r="R81" s="36" t="str">
        <x:f>IF(OR(E81="",G81=""),"",E81/G81)</x:f>
      </x:c>
      <x:c r="S81" s="36" t="str">
        <x:f>IF(OR(F81="",G81=""),"",F81/G81)</x:f>
      </x:c>
      <x:c r="T81" s="36" t="str">
        <x:f>IF(OR(H81="",I81="",J81=""),"",0.45*H81^2/(4*PI())+0.10*I81^2/(4*PI())+0.45*J81^2/(4*PI()))</x:f>
      </x:c>
      <x:c r="U81" s="36" t="str">
        <x:f>IF(G81="","",1.1*G81*100)</x:f>
      </x:c>
      <x:c r="V81" s="36" t="str">
        <x:f>IF(OR(E81="",T81="",U81=""),"",E81*T81/U81)</x:f>
      </x:c>
      <x:c r="W81" s="37" t="str">
        <x:f>IF(OR(F81="",T81="",U81=""),"",F81*T81/U81)</x:f>
      </x:c>
    </x:row>
    <x:row r="82">
      <x:c r="A82" s="32"/>
      <x:c r="B82" s="33"/>
      <x:c r="C82" s="34"/>
      <x:c r="D82" s="34"/>
      <x:c r="E82" s="35"/>
      <x:c r="F82" s="35"/>
      <x:c r="G82" s="35"/>
      <x:c r="H82" s="35"/>
      <x:c r="I82" s="35"/>
      <x:c r="J82" s="35"/>
      <x:c r="K82" s="34"/>
      <x:c r="L82" s="34"/>
      <x:c r="M82" s="34"/>
      <x:c r="N82" s="34"/>
      <x:c r="O82" s="34"/>
      <x:c r="P82" s="34"/>
      <x:c r="Q82" s="34"/>
      <x:c r="R82" s="36" t="str">
        <x:f>IF(OR(E82="",G82=""),"",E82/G82)</x:f>
      </x:c>
      <x:c r="S82" s="36" t="str">
        <x:f>IF(OR(F82="",G82=""),"",F82/G82)</x:f>
      </x:c>
      <x:c r="T82" s="36" t="str">
        <x:f>IF(OR(H82="",I82="",J82=""),"",0.45*H82^2/(4*PI())+0.10*I82^2/(4*PI())+0.45*J82^2/(4*PI()))</x:f>
      </x:c>
      <x:c r="U82" s="36" t="str">
        <x:f>IF(G82="","",1.1*G82*100)</x:f>
      </x:c>
      <x:c r="V82" s="36" t="str">
        <x:f>IF(OR(E82="",T82="",U82=""),"",E82*T82/U82)</x:f>
      </x:c>
      <x:c r="W82" s="37" t="str">
        <x:f>IF(OR(F82="",T82="",U82=""),"",F82*T82/U82)</x:f>
      </x:c>
    </x:row>
    <x:row r="83">
      <x:c r="A83" s="32"/>
      <x:c r="B83" s="33"/>
      <x:c r="C83" s="34"/>
      <x:c r="D83" s="34"/>
      <x:c r="E83" s="35"/>
      <x:c r="F83" s="35"/>
      <x:c r="G83" s="35"/>
      <x:c r="H83" s="35"/>
      <x:c r="I83" s="35"/>
      <x:c r="J83" s="35"/>
      <x:c r="K83" s="34"/>
      <x:c r="L83" s="34"/>
      <x:c r="M83" s="34"/>
      <x:c r="N83" s="34"/>
      <x:c r="O83" s="34"/>
      <x:c r="P83" s="34"/>
      <x:c r="Q83" s="34"/>
      <x:c r="R83" s="36" t="str">
        <x:f>IF(OR(E83="",G83=""),"",E83/G83)</x:f>
      </x:c>
      <x:c r="S83" s="36" t="str">
        <x:f>IF(OR(F83="",G83=""),"",F83/G83)</x:f>
      </x:c>
      <x:c r="T83" s="36" t="str">
        <x:f>IF(OR(H83="",I83="",J83=""),"",0.45*H83^2/(4*PI())+0.10*I83^2/(4*PI())+0.45*J83^2/(4*PI()))</x:f>
      </x:c>
      <x:c r="U83" s="36" t="str">
        <x:f>IF(G83="","",1.1*G83*100)</x:f>
      </x:c>
      <x:c r="V83" s="36" t="str">
        <x:f>IF(OR(E83="",T83="",U83=""),"",E83*T83/U83)</x:f>
      </x:c>
      <x:c r="W83" s="37" t="str">
        <x:f>IF(OR(F83="",T83="",U83=""),"",F83*T83/U83)</x:f>
      </x:c>
    </x:row>
    <x:row r="84">
      <x:c r="A84" s="32"/>
      <x:c r="B84" s="33"/>
      <x:c r="C84" s="34"/>
      <x:c r="D84" s="34"/>
      <x:c r="E84" s="35"/>
      <x:c r="F84" s="35"/>
      <x:c r="G84" s="35"/>
      <x:c r="H84" s="35"/>
      <x:c r="I84" s="35"/>
      <x:c r="J84" s="35"/>
      <x:c r="K84" s="34"/>
      <x:c r="L84" s="34"/>
      <x:c r="M84" s="34"/>
      <x:c r="N84" s="34"/>
      <x:c r="O84" s="34"/>
      <x:c r="P84" s="34"/>
      <x:c r="Q84" s="34"/>
      <x:c r="R84" s="36" t="str">
        <x:f>IF(OR(E84="",G84=""),"",E84/G84)</x:f>
      </x:c>
      <x:c r="S84" s="36" t="str">
        <x:f>IF(OR(F84="",G84=""),"",F84/G84)</x:f>
      </x:c>
      <x:c r="T84" s="36" t="str">
        <x:f>IF(OR(H84="",I84="",J84=""),"",0.45*H84^2/(4*PI())+0.10*I84^2/(4*PI())+0.45*J84^2/(4*PI()))</x:f>
      </x:c>
      <x:c r="U84" s="36" t="str">
        <x:f>IF(G84="","",1.1*G84*100)</x:f>
      </x:c>
      <x:c r="V84" s="36" t="str">
        <x:f>IF(OR(E84="",T84="",U84=""),"",E84*T84/U84)</x:f>
      </x:c>
      <x:c r="W84" s="37" t="str">
        <x:f>IF(OR(F84="",T84="",U84=""),"",F84*T84/U84)</x:f>
      </x:c>
    </x:row>
    <x:row r="85">
      <x:c r="A85" s="32"/>
      <x:c r="B85" s="33"/>
      <x:c r="C85" s="34"/>
      <x:c r="D85" s="34"/>
      <x:c r="E85" s="35"/>
      <x:c r="F85" s="35"/>
      <x:c r="G85" s="35"/>
      <x:c r="H85" s="35"/>
      <x:c r="I85" s="35"/>
      <x:c r="J85" s="35"/>
      <x:c r="K85" s="34"/>
      <x:c r="L85" s="34"/>
      <x:c r="M85" s="34"/>
      <x:c r="N85" s="34"/>
      <x:c r="O85" s="34"/>
      <x:c r="P85" s="34"/>
      <x:c r="Q85" s="34"/>
      <x:c r="R85" s="36" t="str">
        <x:f>IF(OR(E85="",G85=""),"",E85/G85)</x:f>
      </x:c>
      <x:c r="S85" s="36" t="str">
        <x:f>IF(OR(F85="",G85=""),"",F85/G85)</x:f>
      </x:c>
      <x:c r="T85" s="36" t="str">
        <x:f>IF(OR(H85="",I85="",J85=""),"",0.45*H85^2/(4*PI())+0.10*I85^2/(4*PI())+0.45*J85^2/(4*PI()))</x:f>
      </x:c>
      <x:c r="U85" s="36" t="str">
        <x:f>IF(G85="","",1.1*G85*100)</x:f>
      </x:c>
      <x:c r="V85" s="36" t="str">
        <x:f>IF(OR(E85="",T85="",U85=""),"",E85*T85/U85)</x:f>
      </x:c>
      <x:c r="W85" s="37" t="str">
        <x:f>IF(OR(F85="",T85="",U85=""),"",F85*T85/U85)</x:f>
      </x:c>
    </x:row>
    <x:row r="86">
      <x:c r="A86" s="32"/>
      <x:c r="B86" s="33"/>
      <x:c r="C86" s="34"/>
      <x:c r="D86" s="34"/>
      <x:c r="E86" s="35"/>
      <x:c r="F86" s="35"/>
      <x:c r="G86" s="35"/>
      <x:c r="H86" s="35"/>
      <x:c r="I86" s="35"/>
      <x:c r="J86" s="35"/>
      <x:c r="K86" s="34"/>
      <x:c r="L86" s="34"/>
      <x:c r="M86" s="34"/>
      <x:c r="N86" s="34"/>
      <x:c r="O86" s="34"/>
      <x:c r="P86" s="34"/>
      <x:c r="Q86" s="34"/>
      <x:c r="R86" s="36" t="str">
        <x:f>IF(OR(E86="",G86=""),"",E86/G86)</x:f>
      </x:c>
      <x:c r="S86" s="36" t="str">
        <x:f>IF(OR(F86="",G86=""),"",F86/G86)</x:f>
      </x:c>
      <x:c r="T86" s="36" t="str">
        <x:f>IF(OR(H86="",I86="",J86=""),"",0.45*H86^2/(4*PI())+0.10*I86^2/(4*PI())+0.45*J86^2/(4*PI()))</x:f>
      </x:c>
      <x:c r="U86" s="36" t="str">
        <x:f>IF(G86="","",1.1*G86*100)</x:f>
      </x:c>
      <x:c r="V86" s="36" t="str">
        <x:f>IF(OR(E86="",T86="",U86=""),"",E86*T86/U86)</x:f>
      </x:c>
      <x:c r="W86" s="37" t="str">
        <x:f>IF(OR(F86="",T86="",U86=""),"",F86*T86/U86)</x:f>
      </x:c>
    </x:row>
    <x:row r="87">
      <x:c r="A87" s="32"/>
      <x:c r="B87" s="33"/>
      <x:c r="C87" s="34"/>
      <x:c r="D87" s="34"/>
      <x:c r="E87" s="35"/>
      <x:c r="F87" s="35"/>
      <x:c r="G87" s="35"/>
      <x:c r="H87" s="35"/>
      <x:c r="I87" s="35"/>
      <x:c r="J87" s="35"/>
      <x:c r="K87" s="34"/>
      <x:c r="L87" s="34"/>
      <x:c r="M87" s="34"/>
      <x:c r="N87" s="34"/>
      <x:c r="O87" s="34"/>
      <x:c r="P87" s="34"/>
      <x:c r="Q87" s="34"/>
      <x:c r="R87" s="36" t="str">
        <x:f>IF(OR(E87="",G87=""),"",E87/G87)</x:f>
      </x:c>
      <x:c r="S87" s="36" t="str">
        <x:f>IF(OR(F87="",G87=""),"",F87/G87)</x:f>
      </x:c>
      <x:c r="T87" s="36" t="str">
        <x:f>IF(OR(H87="",I87="",J87=""),"",0.45*H87^2/(4*PI())+0.10*I87^2/(4*PI())+0.45*J87^2/(4*PI()))</x:f>
      </x:c>
      <x:c r="U87" s="36" t="str">
        <x:f>IF(G87="","",1.1*G87*100)</x:f>
      </x:c>
      <x:c r="V87" s="36" t="str">
        <x:f>IF(OR(E87="",T87="",U87=""),"",E87*T87/U87)</x:f>
      </x:c>
      <x:c r="W87" s="37" t="str">
        <x:f>IF(OR(F87="",T87="",U87=""),"",F87*T87/U87)</x:f>
      </x:c>
    </x:row>
    <x:row r="88">
      <x:c r="A88" s="32"/>
      <x:c r="B88" s="33"/>
      <x:c r="C88" s="34"/>
      <x:c r="D88" s="34"/>
      <x:c r="E88" s="35"/>
      <x:c r="F88" s="35"/>
      <x:c r="G88" s="35"/>
      <x:c r="H88" s="35"/>
      <x:c r="I88" s="35"/>
      <x:c r="J88" s="35"/>
      <x:c r="K88" s="34"/>
      <x:c r="L88" s="34"/>
      <x:c r="M88" s="34"/>
      <x:c r="N88" s="34"/>
      <x:c r="O88" s="34"/>
      <x:c r="P88" s="34"/>
      <x:c r="Q88" s="34"/>
      <x:c r="R88" s="36" t="str">
        <x:f>IF(OR(E88="",G88=""),"",E88/G88)</x:f>
      </x:c>
      <x:c r="S88" s="36" t="str">
        <x:f>IF(OR(F88="",G88=""),"",F88/G88)</x:f>
      </x:c>
      <x:c r="T88" s="36" t="str">
        <x:f>IF(OR(H88="",I88="",J88=""),"",0.45*H88^2/(4*PI())+0.10*I88^2/(4*PI())+0.45*J88^2/(4*PI()))</x:f>
      </x:c>
      <x:c r="U88" s="36" t="str">
        <x:f>IF(G88="","",1.1*G88*100)</x:f>
      </x:c>
      <x:c r="V88" s="36" t="str">
        <x:f>IF(OR(E88="",T88="",U88=""),"",E88*T88/U88)</x:f>
      </x:c>
      <x:c r="W88" s="37" t="str">
        <x:f>IF(OR(F88="",T88="",U88=""),"",F88*T88/U88)</x:f>
      </x:c>
    </x:row>
    <x:row r="89">
      <x:c r="A89" s="32"/>
      <x:c r="B89" s="33"/>
      <x:c r="C89" s="34"/>
      <x:c r="D89" s="34"/>
      <x:c r="E89" s="35"/>
      <x:c r="F89" s="35"/>
      <x:c r="G89" s="35"/>
      <x:c r="H89" s="35"/>
      <x:c r="I89" s="35"/>
      <x:c r="J89" s="35"/>
      <x:c r="K89" s="34"/>
      <x:c r="L89" s="34"/>
      <x:c r="M89" s="34"/>
      <x:c r="N89" s="34"/>
      <x:c r="O89" s="34"/>
      <x:c r="P89" s="34"/>
      <x:c r="Q89" s="34"/>
      <x:c r="R89" s="36" t="str">
        <x:f>IF(OR(E89="",G89=""),"",E89/G89)</x:f>
      </x:c>
      <x:c r="S89" s="36" t="str">
        <x:f>IF(OR(F89="",G89=""),"",F89/G89)</x:f>
      </x:c>
      <x:c r="T89" s="36" t="str">
        <x:f>IF(OR(H89="",I89="",J89=""),"",0.45*H89^2/(4*PI())+0.10*I89^2/(4*PI())+0.45*J89^2/(4*PI()))</x:f>
      </x:c>
      <x:c r="U89" s="36" t="str">
        <x:f>IF(G89="","",1.1*G89*100)</x:f>
      </x:c>
      <x:c r="V89" s="36" t="str">
        <x:f>IF(OR(E89="",T89="",U89=""),"",E89*T89/U89)</x:f>
      </x:c>
      <x:c r="W89" s="37" t="str">
        <x:f>IF(OR(F89="",T89="",U89=""),"",F89*T89/U89)</x:f>
      </x:c>
    </x:row>
    <x:row r="90">
      <x:c r="A90" s="32"/>
      <x:c r="B90" s="33"/>
      <x:c r="C90" s="34"/>
      <x:c r="D90" s="34"/>
      <x:c r="E90" s="35"/>
      <x:c r="F90" s="35"/>
      <x:c r="G90" s="35"/>
      <x:c r="H90" s="35"/>
      <x:c r="I90" s="35"/>
      <x:c r="J90" s="35"/>
      <x:c r="K90" s="34"/>
      <x:c r="L90" s="34"/>
      <x:c r="M90" s="34"/>
      <x:c r="N90" s="34"/>
      <x:c r="O90" s="34"/>
      <x:c r="P90" s="34"/>
      <x:c r="Q90" s="34"/>
      <x:c r="R90" s="36" t="str">
        <x:f>IF(OR(E90="",G90=""),"",E90/G90)</x:f>
      </x:c>
      <x:c r="S90" s="36" t="str">
        <x:f>IF(OR(F90="",G90=""),"",F90/G90)</x:f>
      </x:c>
      <x:c r="T90" s="36" t="str">
        <x:f>IF(OR(H90="",I90="",J90=""),"",0.45*H90^2/(4*PI())+0.10*I90^2/(4*PI())+0.45*J90^2/(4*PI()))</x:f>
      </x:c>
      <x:c r="U90" s="36" t="str">
        <x:f>IF(G90="","",1.1*G90*100)</x:f>
      </x:c>
      <x:c r="V90" s="36" t="str">
        <x:f>IF(OR(E90="",T90="",U90=""),"",E90*T90/U90)</x:f>
      </x:c>
      <x:c r="W90" s="37" t="str">
        <x:f>IF(OR(F90="",T90="",U90=""),"",F90*T90/U90)</x:f>
      </x:c>
    </x:row>
    <x:row r="91">
      <x:c r="A91" s="32"/>
      <x:c r="B91" s="33"/>
      <x:c r="C91" s="34"/>
      <x:c r="D91" s="34"/>
      <x:c r="E91" s="35"/>
      <x:c r="F91" s="35"/>
      <x:c r="G91" s="35"/>
      <x:c r="H91" s="35"/>
      <x:c r="I91" s="35"/>
      <x:c r="J91" s="35"/>
      <x:c r="K91" s="34"/>
      <x:c r="L91" s="34"/>
      <x:c r="M91" s="34"/>
      <x:c r="N91" s="34"/>
      <x:c r="O91" s="34"/>
      <x:c r="P91" s="34"/>
      <x:c r="Q91" s="34"/>
      <x:c r="R91" s="36" t="str">
        <x:f>IF(OR(E91="",G91=""),"",E91/G91)</x:f>
      </x:c>
      <x:c r="S91" s="36" t="str">
        <x:f>IF(OR(F91="",G91=""),"",F91/G91)</x:f>
      </x:c>
      <x:c r="T91" s="36" t="str">
        <x:f>IF(OR(H91="",I91="",J91=""),"",0.45*H91^2/(4*PI())+0.10*I91^2/(4*PI())+0.45*J91^2/(4*PI()))</x:f>
      </x:c>
      <x:c r="U91" s="36" t="str">
        <x:f>IF(G91="","",1.1*G91*100)</x:f>
      </x:c>
      <x:c r="V91" s="36" t="str">
        <x:f>IF(OR(E91="",T91="",U91=""),"",E91*T91/U91)</x:f>
      </x:c>
      <x:c r="W91" s="37" t="str">
        <x:f>IF(OR(F91="",T91="",U91=""),"",F91*T91/U91)</x:f>
      </x:c>
    </x:row>
    <x:row r="92">
      <x:c r="A92" s="32"/>
      <x:c r="B92" s="33"/>
      <x:c r="C92" s="34"/>
      <x:c r="D92" s="34"/>
      <x:c r="E92" s="35"/>
      <x:c r="F92" s="35"/>
      <x:c r="G92" s="35"/>
      <x:c r="H92" s="35"/>
      <x:c r="I92" s="35"/>
      <x:c r="J92" s="35"/>
      <x:c r="K92" s="34"/>
      <x:c r="L92" s="34"/>
      <x:c r="M92" s="34"/>
      <x:c r="N92" s="34"/>
      <x:c r="O92" s="34"/>
      <x:c r="P92" s="34"/>
      <x:c r="Q92" s="34"/>
      <x:c r="R92" s="36" t="str">
        <x:f>IF(OR(E92="",G92=""),"",E92/G92)</x:f>
      </x:c>
      <x:c r="S92" s="36" t="str">
        <x:f>IF(OR(F92="",G92=""),"",F92/G92)</x:f>
      </x:c>
      <x:c r="T92" s="36" t="str">
        <x:f>IF(OR(H92="",I92="",J92=""),"",0.45*H92^2/(4*PI())+0.10*I92^2/(4*PI())+0.45*J92^2/(4*PI()))</x:f>
      </x:c>
      <x:c r="U92" s="36" t="str">
        <x:f>IF(G92="","",1.1*G92*100)</x:f>
      </x:c>
      <x:c r="V92" s="36" t="str">
        <x:f>IF(OR(E92="",T92="",U92=""),"",E92*T92/U92)</x:f>
      </x:c>
      <x:c r="W92" s="37" t="str">
        <x:f>IF(OR(F92="",T92="",U92=""),"",F92*T92/U92)</x:f>
      </x:c>
    </x:row>
    <x:row r="93">
      <x:c r="A93" s="32"/>
      <x:c r="B93" s="33"/>
      <x:c r="C93" s="34"/>
      <x:c r="D93" s="34"/>
      <x:c r="E93" s="35"/>
      <x:c r="F93" s="35"/>
      <x:c r="G93" s="35"/>
      <x:c r="H93" s="35"/>
      <x:c r="I93" s="35"/>
      <x:c r="J93" s="35"/>
      <x:c r="K93" s="34"/>
      <x:c r="L93" s="34"/>
      <x:c r="M93" s="34"/>
      <x:c r="N93" s="34"/>
      <x:c r="O93" s="34"/>
      <x:c r="P93" s="34"/>
      <x:c r="Q93" s="34"/>
      <x:c r="R93" s="36" t="str">
        <x:f>IF(OR(E93="",G93=""),"",E93/G93)</x:f>
      </x:c>
      <x:c r="S93" s="36" t="str">
        <x:f>IF(OR(F93="",G93=""),"",F93/G93)</x:f>
      </x:c>
      <x:c r="T93" s="36" t="str">
        <x:f>IF(OR(H93="",I93="",J93=""),"",0.45*H93^2/(4*PI())+0.10*I93^2/(4*PI())+0.45*J93^2/(4*PI()))</x:f>
      </x:c>
      <x:c r="U93" s="36" t="str">
        <x:f>IF(G93="","",1.1*G93*100)</x:f>
      </x:c>
      <x:c r="V93" s="36" t="str">
        <x:f>IF(OR(E93="",T93="",U93=""),"",E93*T93/U93)</x:f>
      </x:c>
      <x:c r="W93" s="37" t="str">
        <x:f>IF(OR(F93="",T93="",U93=""),"",F93*T93/U93)</x:f>
      </x:c>
    </x:row>
    <x:row r="94">
      <x:c r="A94" s="32"/>
      <x:c r="B94" s="33"/>
      <x:c r="C94" s="34"/>
      <x:c r="D94" s="34"/>
      <x:c r="E94" s="35"/>
      <x:c r="F94" s="35"/>
      <x:c r="G94" s="35"/>
      <x:c r="H94" s="35"/>
      <x:c r="I94" s="35"/>
      <x:c r="J94" s="35"/>
      <x:c r="K94" s="34"/>
      <x:c r="L94" s="34"/>
      <x:c r="M94" s="34"/>
      <x:c r="N94" s="34"/>
      <x:c r="O94" s="34"/>
      <x:c r="P94" s="34"/>
      <x:c r="Q94" s="34"/>
      <x:c r="R94" s="36" t="str">
        <x:f>IF(OR(E94="",G94=""),"",E94/G94)</x:f>
      </x:c>
      <x:c r="S94" s="36" t="str">
        <x:f>IF(OR(F94="",G94=""),"",F94/G94)</x:f>
      </x:c>
      <x:c r="T94" s="36" t="str">
        <x:f>IF(OR(H94="",I94="",J94=""),"",0.45*H94^2/(4*PI())+0.10*I94^2/(4*PI())+0.45*J94^2/(4*PI()))</x:f>
      </x:c>
      <x:c r="U94" s="36" t="str">
        <x:f>IF(G94="","",1.1*G94*100)</x:f>
      </x:c>
      <x:c r="V94" s="36" t="str">
        <x:f>IF(OR(E94="",T94="",U94=""),"",E94*T94/U94)</x:f>
      </x:c>
      <x:c r="W94" s="37" t="str">
        <x:f>IF(OR(F94="",T94="",U94=""),"",F94*T94/U94)</x:f>
      </x:c>
    </x:row>
    <x:row r="95">
      <x:c r="A95" s="32"/>
      <x:c r="B95" s="33"/>
      <x:c r="C95" s="34"/>
      <x:c r="D95" s="34"/>
      <x:c r="E95" s="35"/>
      <x:c r="F95" s="35"/>
      <x:c r="G95" s="35"/>
      <x:c r="H95" s="35"/>
      <x:c r="I95" s="35"/>
      <x:c r="J95" s="35"/>
      <x:c r="K95" s="34"/>
      <x:c r="L95" s="34"/>
      <x:c r="M95" s="34"/>
      <x:c r="N95" s="34"/>
      <x:c r="O95" s="34"/>
      <x:c r="P95" s="34"/>
      <x:c r="Q95" s="34"/>
      <x:c r="R95" s="36" t="str">
        <x:f>IF(OR(E95="",G95=""),"",E95/G95)</x:f>
      </x:c>
      <x:c r="S95" s="36" t="str">
        <x:f>IF(OR(F95="",G95=""),"",F95/G95)</x:f>
      </x:c>
      <x:c r="T95" s="36" t="str">
        <x:f>IF(OR(H95="",I95="",J95=""),"",0.45*H95^2/(4*PI())+0.10*I95^2/(4*PI())+0.45*J95^2/(4*PI()))</x:f>
      </x:c>
      <x:c r="U95" s="36" t="str">
        <x:f>IF(G95="","",1.1*G95*100)</x:f>
      </x:c>
      <x:c r="V95" s="36" t="str">
        <x:f>IF(OR(E95="",T95="",U95=""),"",E95*T95/U95)</x:f>
      </x:c>
      <x:c r="W95" s="37" t="str">
        <x:f>IF(OR(F95="",T95="",U95=""),"",F95*T95/U95)</x:f>
      </x:c>
    </x:row>
    <x:row r="96">
      <x:c r="A96" s="32"/>
      <x:c r="B96" s="33"/>
      <x:c r="C96" s="34"/>
      <x:c r="D96" s="34"/>
      <x:c r="E96" s="35"/>
      <x:c r="F96" s="35"/>
      <x:c r="G96" s="35"/>
      <x:c r="H96" s="35"/>
      <x:c r="I96" s="35"/>
      <x:c r="J96" s="35"/>
      <x:c r="K96" s="34"/>
      <x:c r="L96" s="34"/>
      <x:c r="M96" s="34"/>
      <x:c r="N96" s="34"/>
      <x:c r="O96" s="34"/>
      <x:c r="P96" s="34"/>
      <x:c r="Q96" s="34"/>
      <x:c r="R96" s="36" t="str">
        <x:f>IF(OR(E96="",G96=""),"",E96/G96)</x:f>
      </x:c>
      <x:c r="S96" s="36" t="str">
        <x:f>IF(OR(F96="",G96=""),"",F96/G96)</x:f>
      </x:c>
      <x:c r="T96" s="36" t="str">
        <x:f>IF(OR(H96="",I96="",J96=""),"",0.45*H96^2/(4*PI())+0.10*I96^2/(4*PI())+0.45*J96^2/(4*PI()))</x:f>
      </x:c>
      <x:c r="U96" s="36" t="str">
        <x:f>IF(G96="","",1.1*G96*100)</x:f>
      </x:c>
      <x:c r="V96" s="36" t="str">
        <x:f>IF(OR(E96="",T96="",U96=""),"",E96*T96/U96)</x:f>
      </x:c>
      <x:c r="W96" s="37" t="str">
        <x:f>IF(OR(F96="",T96="",U96=""),"",F96*T96/U96)</x:f>
      </x:c>
    </x:row>
    <x:row r="97">
      <x:c r="A97" s="32"/>
      <x:c r="B97" s="33"/>
      <x:c r="C97" s="34"/>
      <x:c r="D97" s="34"/>
      <x:c r="E97" s="35"/>
      <x:c r="F97" s="35"/>
      <x:c r="G97" s="35"/>
      <x:c r="H97" s="35"/>
      <x:c r="I97" s="35"/>
      <x:c r="J97" s="35"/>
      <x:c r="K97" s="34"/>
      <x:c r="L97" s="34"/>
      <x:c r="M97" s="34"/>
      <x:c r="N97" s="34"/>
      <x:c r="O97" s="34"/>
      <x:c r="P97" s="34"/>
      <x:c r="Q97" s="34"/>
      <x:c r="R97" s="36" t="str">
        <x:f>IF(OR(E97="",G97=""),"",E97/G97)</x:f>
      </x:c>
      <x:c r="S97" s="36" t="str">
        <x:f>IF(OR(F97="",G97=""),"",F97/G97)</x:f>
      </x:c>
      <x:c r="T97" s="36" t="str">
        <x:f>IF(OR(H97="",I97="",J97=""),"",0.45*H97^2/(4*PI())+0.10*I97^2/(4*PI())+0.45*J97^2/(4*PI()))</x:f>
      </x:c>
      <x:c r="U97" s="36" t="str">
        <x:f>IF(G97="","",1.1*G97*100)</x:f>
      </x:c>
      <x:c r="V97" s="36" t="str">
        <x:f>IF(OR(E97="",T97="",U97=""),"",E97*T97/U97)</x:f>
      </x:c>
      <x:c r="W97" s="37" t="str">
        <x:f>IF(OR(F97="",T97="",U97=""),"",F97*T97/U97)</x:f>
      </x:c>
    </x:row>
    <x:row r="98">
      <x:c r="A98" s="32"/>
      <x:c r="B98" s="33"/>
      <x:c r="C98" s="34"/>
      <x:c r="D98" s="34"/>
      <x:c r="E98" s="35"/>
      <x:c r="F98" s="35"/>
      <x:c r="G98" s="35"/>
      <x:c r="H98" s="35"/>
      <x:c r="I98" s="35"/>
      <x:c r="J98" s="35"/>
      <x:c r="K98" s="34"/>
      <x:c r="L98" s="34"/>
      <x:c r="M98" s="34"/>
      <x:c r="N98" s="34"/>
      <x:c r="O98" s="34"/>
      <x:c r="P98" s="34"/>
      <x:c r="Q98" s="34"/>
      <x:c r="R98" s="36" t="str">
        <x:f>IF(OR(E98="",G98=""),"",E98/G98)</x:f>
      </x:c>
      <x:c r="S98" s="36" t="str">
        <x:f>IF(OR(F98="",G98=""),"",F98/G98)</x:f>
      </x:c>
      <x:c r="T98" s="36" t="str">
        <x:f>IF(OR(H98="",I98="",J98=""),"",0.45*H98^2/(4*PI())+0.10*I98^2/(4*PI())+0.45*J98^2/(4*PI()))</x:f>
      </x:c>
      <x:c r="U98" s="36" t="str">
        <x:f>IF(G98="","",1.1*G98*100)</x:f>
      </x:c>
      <x:c r="V98" s="36" t="str">
        <x:f>IF(OR(E98="",T98="",U98=""),"",E98*T98/U98)</x:f>
      </x:c>
      <x:c r="W98" s="37" t="str">
        <x:f>IF(OR(F98="",T98="",U98=""),"",F98*T98/U98)</x:f>
      </x:c>
    </x:row>
    <x:row r="99">
      <x:c r="A99" s="32"/>
      <x:c r="B99" s="33"/>
      <x:c r="C99" s="34"/>
      <x:c r="D99" s="34"/>
      <x:c r="E99" s="35"/>
      <x:c r="F99" s="35"/>
      <x:c r="G99" s="35"/>
      <x:c r="H99" s="35"/>
      <x:c r="I99" s="35"/>
      <x:c r="J99" s="35"/>
      <x:c r="K99" s="34"/>
      <x:c r="L99" s="34"/>
      <x:c r="M99" s="34"/>
      <x:c r="N99" s="34"/>
      <x:c r="O99" s="34"/>
      <x:c r="P99" s="34"/>
      <x:c r="Q99" s="34"/>
      <x:c r="R99" s="36" t="str">
        <x:f>IF(OR(E99="",G99=""),"",E99/G99)</x:f>
      </x:c>
      <x:c r="S99" s="36" t="str">
        <x:f>IF(OR(F99="",G99=""),"",F99/G99)</x:f>
      </x:c>
      <x:c r="T99" s="36" t="str">
        <x:f>IF(OR(H99="",I99="",J99=""),"",0.45*H99^2/(4*PI())+0.10*I99^2/(4*PI())+0.45*J99^2/(4*PI()))</x:f>
      </x:c>
      <x:c r="U99" s="36" t="str">
        <x:f>IF(G99="","",1.1*G99*100)</x:f>
      </x:c>
      <x:c r="V99" s="36" t="str">
        <x:f>IF(OR(E99="",T99="",U99=""),"",E99*T99/U99)</x:f>
      </x:c>
      <x:c r="W99" s="37" t="str">
        <x:f>IF(OR(F99="",T99="",U99=""),"",F99*T99/U99)</x:f>
      </x:c>
    </x:row>
    <x:row r="100">
      <x:c r="A100" s="32"/>
      <x:c r="B100" s="33"/>
      <x:c r="C100" s="34"/>
      <x:c r="D100" s="34"/>
      <x:c r="E100" s="35"/>
      <x:c r="F100" s="35"/>
      <x:c r="G100" s="35"/>
      <x:c r="H100" s="35"/>
      <x:c r="I100" s="35"/>
      <x:c r="J100" s="35"/>
      <x:c r="K100" s="34"/>
      <x:c r="L100" s="34"/>
      <x:c r="M100" s="34"/>
      <x:c r="N100" s="34"/>
      <x:c r="O100" s="34"/>
      <x:c r="P100" s="34"/>
      <x:c r="Q100" s="34"/>
      <x:c r="R100" s="36" t="str">
        <x:f>IF(OR(E100="",G100=""),"",E100/G100)</x:f>
      </x:c>
      <x:c r="S100" s="36" t="str">
        <x:f>IF(OR(F100="",G100=""),"",F100/G100)</x:f>
      </x:c>
      <x:c r="T100" s="36" t="str">
        <x:f>IF(OR(H100="",I100="",J100=""),"",0.45*H100^2/(4*PI())+0.10*I100^2/(4*PI())+0.45*J100^2/(4*PI()))</x:f>
      </x:c>
      <x:c r="U100" s="36" t="str">
        <x:f>IF(G100="","",1.1*G100*100)</x:f>
      </x:c>
      <x:c r="V100" s="36" t="str">
        <x:f>IF(OR(E100="",T100="",U100=""),"",E100*T100/U100)</x:f>
      </x:c>
      <x:c r="W100" s="37" t="str">
        <x:f>IF(OR(F100="",T100="",U100=""),"",F100*T100/U100)</x:f>
      </x:c>
    </x:row>
    <x:row r="101">
      <x:c r="A101" s="32"/>
      <x:c r="B101" s="33"/>
      <x:c r="C101" s="34"/>
      <x:c r="D101" s="34"/>
      <x:c r="E101" s="35"/>
      <x:c r="F101" s="35"/>
      <x:c r="G101" s="35"/>
      <x:c r="H101" s="35"/>
      <x:c r="I101" s="35"/>
      <x:c r="J101" s="35"/>
      <x:c r="K101" s="34"/>
      <x:c r="L101" s="34"/>
      <x:c r="M101" s="34"/>
      <x:c r="N101" s="34"/>
      <x:c r="O101" s="34"/>
      <x:c r="P101" s="34"/>
      <x:c r="Q101" s="34"/>
      <x:c r="R101" s="36" t="str">
        <x:f>IF(OR(E101="",G101=""),"",E101/G101)</x:f>
      </x:c>
      <x:c r="S101" s="36" t="str">
        <x:f>IF(OR(F101="",G101=""),"",F101/G101)</x:f>
      </x:c>
      <x:c r="T101" s="36" t="str">
        <x:f>IF(OR(H101="",I101="",J101=""),"",0.45*H101^2/(4*PI())+0.10*I101^2/(4*PI())+0.45*J101^2/(4*PI()))</x:f>
      </x:c>
      <x:c r="U101" s="36" t="str">
        <x:f>IF(G101="","",1.1*G101*100)</x:f>
      </x:c>
      <x:c r="V101" s="36" t="str">
        <x:f>IF(OR(E101="",T101="",U101=""),"",E101*T101/U101)</x:f>
      </x:c>
      <x:c r="W101" s="37" t="str">
        <x:f>IF(OR(F101="",T101="",U101=""),"",F101*T101/U101)</x:f>
      </x:c>
    </x:row>
    <x:row r="102">
      <x:c r="A102" s="32"/>
      <x:c r="B102" s="33"/>
      <x:c r="C102" s="34"/>
      <x:c r="D102" s="34"/>
      <x:c r="E102" s="35"/>
      <x:c r="F102" s="35"/>
      <x:c r="G102" s="35"/>
      <x:c r="H102" s="35"/>
      <x:c r="I102" s="35"/>
      <x:c r="J102" s="35"/>
      <x:c r="K102" s="34"/>
      <x:c r="L102" s="34"/>
      <x:c r="M102" s="34"/>
      <x:c r="N102" s="34"/>
      <x:c r="O102" s="34"/>
      <x:c r="P102" s="34"/>
      <x:c r="Q102" s="34"/>
      <x:c r="R102" s="36" t="str">
        <x:f>IF(OR(E102="",G102=""),"",E102/G102)</x:f>
      </x:c>
      <x:c r="S102" s="36" t="str">
        <x:f>IF(OR(F102="",G102=""),"",F102/G102)</x:f>
      </x:c>
      <x:c r="T102" s="36" t="str">
        <x:f>IF(OR(H102="",I102="",J102=""),"",0.45*H102^2/(4*PI())+0.10*I102^2/(4*PI())+0.45*J102^2/(4*PI()))</x:f>
      </x:c>
      <x:c r="U102" s="36" t="str">
        <x:f>IF(G102="","",1.1*G102*100)</x:f>
      </x:c>
      <x:c r="V102" s="36" t="str">
        <x:f>IF(OR(E102="",T102="",U102=""),"",E102*T102/U102)</x:f>
      </x:c>
      <x:c r="W102" s="37" t="str">
        <x:f>IF(OR(F102="",T102="",U102=""),"",F102*T102/U102)</x:f>
      </x:c>
    </x:row>
    <x:row r="103">
      <x:c r="A103" s="32"/>
      <x:c r="B103" s="33"/>
      <x:c r="C103" s="34"/>
      <x:c r="D103" s="34"/>
      <x:c r="E103" s="35"/>
      <x:c r="F103" s="35"/>
      <x:c r="G103" s="35"/>
      <x:c r="H103" s="35"/>
      <x:c r="I103" s="35"/>
      <x:c r="J103" s="35"/>
      <x:c r="K103" s="34"/>
      <x:c r="L103" s="34"/>
      <x:c r="M103" s="34"/>
      <x:c r="N103" s="34"/>
      <x:c r="O103" s="34"/>
      <x:c r="P103" s="34"/>
      <x:c r="Q103" s="34"/>
      <x:c r="R103" s="36" t="str">
        <x:f>IF(OR(E103="",G103=""),"",E103/G103)</x:f>
      </x:c>
      <x:c r="S103" s="36" t="str">
        <x:f>IF(OR(F103="",G103=""),"",F103/G103)</x:f>
      </x:c>
      <x:c r="T103" s="36" t="str">
        <x:f>IF(OR(H103="",I103="",J103=""),"",0.45*H103^2/(4*PI())+0.10*I103^2/(4*PI())+0.45*J103^2/(4*PI()))</x:f>
      </x:c>
      <x:c r="U103" s="36" t="str">
        <x:f>IF(G103="","",1.1*G103*100)</x:f>
      </x:c>
      <x:c r="V103" s="36" t="str">
        <x:f>IF(OR(E103="",T103="",U103=""),"",E103*T103/U103)</x:f>
      </x:c>
      <x:c r="W103" s="37" t="str">
        <x:f>IF(OR(F103="",T103="",U103=""),"",F103*T103/U103)</x:f>
      </x:c>
    </x:row>
    <x:row r="104">
      <x:c r="A104" s="32"/>
      <x:c r="B104" s="33"/>
      <x:c r="C104" s="34"/>
      <x:c r="D104" s="34"/>
      <x:c r="E104" s="35"/>
      <x:c r="F104" s="35"/>
      <x:c r="G104" s="35"/>
      <x:c r="H104" s="35"/>
      <x:c r="I104" s="35"/>
      <x:c r="J104" s="35"/>
      <x:c r="K104" s="34"/>
      <x:c r="L104" s="34"/>
      <x:c r="M104" s="34"/>
      <x:c r="N104" s="34"/>
      <x:c r="O104" s="34"/>
      <x:c r="P104" s="34"/>
      <x:c r="Q104" s="34"/>
      <x:c r="R104" s="36" t="str">
        <x:f>IF(OR(E104="",G104=""),"",E104/G104)</x:f>
      </x:c>
      <x:c r="S104" s="36" t="str">
        <x:f>IF(OR(F104="",G104=""),"",F104/G104)</x:f>
      </x:c>
      <x:c r="T104" s="36" t="str">
        <x:f>IF(OR(H104="",I104="",J104=""),"",0.45*H104^2/(4*PI())+0.10*I104^2/(4*PI())+0.45*J104^2/(4*PI()))</x:f>
      </x:c>
      <x:c r="U104" s="36" t="str">
        <x:f>IF(G104="","",1.1*G104*100)</x:f>
      </x:c>
      <x:c r="V104" s="36" t="str">
        <x:f>IF(OR(E104="",T104="",U104=""),"",E104*T104/U104)</x:f>
      </x:c>
      <x:c r="W104" s="37" t="str">
        <x:f>IF(OR(F104="",T104="",U104=""),"",F104*T104/U104)</x:f>
      </x:c>
    </x:row>
    <x:row r="105">
      <x:c r="A105" s="32"/>
      <x:c r="B105" s="33"/>
      <x:c r="C105" s="34"/>
      <x:c r="D105" s="34"/>
      <x:c r="E105" s="35"/>
      <x:c r="F105" s="35"/>
      <x:c r="G105" s="35"/>
      <x:c r="H105" s="35"/>
      <x:c r="I105" s="35"/>
      <x:c r="J105" s="35"/>
      <x:c r="K105" s="34"/>
      <x:c r="L105" s="34"/>
      <x:c r="M105" s="34"/>
      <x:c r="N105" s="34"/>
      <x:c r="O105" s="34"/>
      <x:c r="P105" s="34"/>
      <x:c r="Q105" s="34"/>
      <x:c r="R105" s="36" t="str">
        <x:f>IF(OR(E105="",G105=""),"",E105/G105)</x:f>
      </x:c>
      <x:c r="S105" s="36" t="str">
        <x:f>IF(OR(F105="",G105=""),"",F105/G105)</x:f>
      </x:c>
      <x:c r="T105" s="36" t="str">
        <x:f>IF(OR(H105="",I105="",J105=""),"",0.45*H105^2/(4*PI())+0.10*I105^2/(4*PI())+0.45*J105^2/(4*PI()))</x:f>
      </x:c>
      <x:c r="U105" s="36" t="str">
        <x:f>IF(G105="","",1.1*G105*100)</x:f>
      </x:c>
      <x:c r="V105" s="36" t="str">
        <x:f>IF(OR(E105="",T105="",U105=""),"",E105*T105/U105)</x:f>
      </x:c>
      <x:c r="W105" s="37" t="str">
        <x:f>IF(OR(F105="",T105="",U105=""),"",F105*T105/U105)</x:f>
      </x:c>
    </x:row>
    <x:row r="106">
      <x:c r="A106" s="32"/>
      <x:c r="B106" s="33"/>
      <x:c r="C106" s="34"/>
      <x:c r="D106" s="34"/>
      <x:c r="E106" s="35"/>
      <x:c r="F106" s="35"/>
      <x:c r="G106" s="35"/>
      <x:c r="H106" s="35"/>
      <x:c r="I106" s="35"/>
      <x:c r="J106" s="35"/>
      <x:c r="K106" s="34"/>
      <x:c r="L106" s="34"/>
      <x:c r="M106" s="34"/>
      <x:c r="N106" s="34"/>
      <x:c r="O106" s="34"/>
      <x:c r="P106" s="34"/>
      <x:c r="Q106" s="34"/>
      <x:c r="R106" s="36" t="str">
        <x:f>IF(OR(E106="",G106=""),"",E106/G106)</x:f>
      </x:c>
      <x:c r="S106" s="36" t="str">
        <x:f>IF(OR(F106="",G106=""),"",F106/G106)</x:f>
      </x:c>
      <x:c r="T106" s="36" t="str">
        <x:f>IF(OR(H106="",I106="",J106=""),"",0.45*H106^2/(4*PI())+0.10*I106^2/(4*PI())+0.45*J106^2/(4*PI()))</x:f>
      </x:c>
      <x:c r="U106" s="36" t="str">
        <x:f>IF(G106="","",1.1*G106*100)</x:f>
      </x:c>
      <x:c r="V106" s="36" t="str">
        <x:f>IF(OR(E106="",T106="",U106=""),"",E106*T106/U106)</x:f>
      </x:c>
      <x:c r="W106" s="37" t="str">
        <x:f>IF(OR(F106="",T106="",U106=""),"",F106*T106/U106)</x:f>
      </x:c>
    </x:row>
    <x:row r="107">
      <x:c r="A107" s="32"/>
      <x:c r="B107" s="33"/>
      <x:c r="C107" s="34"/>
      <x:c r="D107" s="34"/>
      <x:c r="E107" s="35"/>
      <x:c r="F107" s="35"/>
      <x:c r="G107" s="35"/>
      <x:c r="H107" s="35"/>
      <x:c r="I107" s="35"/>
      <x:c r="J107" s="35"/>
      <x:c r="K107" s="34"/>
      <x:c r="L107" s="34"/>
      <x:c r="M107" s="34"/>
      <x:c r="N107" s="34"/>
      <x:c r="O107" s="34"/>
      <x:c r="P107" s="34"/>
      <x:c r="Q107" s="34"/>
      <x:c r="R107" s="36" t="str">
        <x:f>IF(OR(E107="",G107=""),"",E107/G107)</x:f>
      </x:c>
      <x:c r="S107" s="36" t="str">
        <x:f>IF(OR(F107="",G107=""),"",F107/G107)</x:f>
      </x:c>
      <x:c r="T107" s="36" t="str">
        <x:f>IF(OR(H107="",I107="",J107=""),"",0.45*H107^2/(4*PI())+0.10*I107^2/(4*PI())+0.45*J107^2/(4*PI()))</x:f>
      </x:c>
      <x:c r="U107" s="36" t="str">
        <x:f>IF(G107="","",1.1*G107*100)</x:f>
      </x:c>
      <x:c r="V107" s="36" t="str">
        <x:f>IF(OR(E107="",T107="",U107=""),"",E107*T107/U107)</x:f>
      </x:c>
      <x:c r="W107" s="37" t="str">
        <x:f>IF(OR(F107="",T107="",U107=""),"",F107*T107/U107)</x:f>
      </x:c>
    </x:row>
    <x:row r="108">
      <x:c r="A108" s="32"/>
      <x:c r="B108" s="33"/>
      <x:c r="C108" s="34"/>
      <x:c r="D108" s="34"/>
      <x:c r="E108" s="35"/>
      <x:c r="F108" s="35"/>
      <x:c r="G108" s="35"/>
      <x:c r="H108" s="35"/>
      <x:c r="I108" s="35"/>
      <x:c r="J108" s="35"/>
      <x:c r="K108" s="34"/>
      <x:c r="L108" s="34"/>
      <x:c r="M108" s="34"/>
      <x:c r="N108" s="34"/>
      <x:c r="O108" s="34"/>
      <x:c r="P108" s="34"/>
      <x:c r="Q108" s="34"/>
      <x:c r="R108" s="36" t="str">
        <x:f>IF(OR(E108="",G108=""),"",E108/G108)</x:f>
      </x:c>
      <x:c r="S108" s="36" t="str">
        <x:f>IF(OR(F108="",G108=""),"",F108/G108)</x:f>
      </x:c>
      <x:c r="T108" s="36" t="str">
        <x:f>IF(OR(H108="",I108="",J108=""),"",0.45*H108^2/(4*PI())+0.10*I108^2/(4*PI())+0.45*J108^2/(4*PI()))</x:f>
      </x:c>
      <x:c r="U108" s="36" t="str">
        <x:f>IF(G108="","",1.1*G108*100)</x:f>
      </x:c>
      <x:c r="V108" s="36" t="str">
        <x:f>IF(OR(E108="",T108="",U108=""),"",E108*T108/U108)</x:f>
      </x:c>
      <x:c r="W108" s="37" t="str">
        <x:f>IF(OR(F108="",T108="",U108=""),"",F108*T108/U108)</x:f>
      </x:c>
    </x:row>
    <x:row r="109">
      <x:c r="A109" s="32"/>
      <x:c r="B109" s="33"/>
      <x:c r="C109" s="34"/>
      <x:c r="D109" s="34"/>
      <x:c r="E109" s="35"/>
      <x:c r="F109" s="35"/>
      <x:c r="G109" s="35"/>
      <x:c r="H109" s="35"/>
      <x:c r="I109" s="35"/>
      <x:c r="J109" s="35"/>
      <x:c r="K109" s="34"/>
      <x:c r="L109" s="34"/>
      <x:c r="M109" s="34"/>
      <x:c r="N109" s="34"/>
      <x:c r="O109" s="34"/>
      <x:c r="P109" s="34"/>
      <x:c r="Q109" s="34"/>
      <x:c r="R109" s="36" t="str">
        <x:f>IF(OR(E109="",G109=""),"",E109/G109)</x:f>
      </x:c>
      <x:c r="S109" s="36" t="str">
        <x:f>IF(OR(F109="",G109=""),"",F109/G109)</x:f>
      </x:c>
      <x:c r="T109" s="36" t="str">
        <x:f>IF(OR(H109="",I109="",J109=""),"",0.45*H109^2/(4*PI())+0.10*I109^2/(4*PI())+0.45*J109^2/(4*PI()))</x:f>
      </x:c>
      <x:c r="U109" s="36" t="str">
        <x:f>IF(G109="","",1.1*G109*100)</x:f>
      </x:c>
      <x:c r="V109" s="36" t="str">
        <x:f>IF(OR(E109="",T109="",U109=""),"",E109*T109/U109)</x:f>
      </x:c>
      <x:c r="W109" s="37" t="str">
        <x:f>IF(OR(F109="",T109="",U109=""),"",F109*T109/U109)</x:f>
      </x:c>
    </x:row>
    <x:row r="110">
      <x:c r="A110" s="32"/>
      <x:c r="B110" s="33"/>
      <x:c r="C110" s="34"/>
      <x:c r="D110" s="34"/>
      <x:c r="E110" s="35"/>
      <x:c r="F110" s="35"/>
      <x:c r="G110" s="35"/>
      <x:c r="H110" s="35"/>
      <x:c r="I110" s="35"/>
      <x:c r="J110" s="35"/>
      <x:c r="K110" s="34"/>
      <x:c r="L110" s="34"/>
      <x:c r="M110" s="34"/>
      <x:c r="N110" s="34"/>
      <x:c r="O110" s="34"/>
      <x:c r="P110" s="34"/>
      <x:c r="Q110" s="34"/>
      <x:c r="R110" s="36" t="str">
        <x:f>IF(OR(E110="",G110=""),"",E110/G110)</x:f>
      </x:c>
      <x:c r="S110" s="36" t="str">
        <x:f>IF(OR(F110="",G110=""),"",F110/G110)</x:f>
      </x:c>
      <x:c r="T110" s="36" t="str">
        <x:f>IF(OR(H110="",I110="",J110=""),"",0.45*H110^2/(4*PI())+0.10*I110^2/(4*PI())+0.45*J110^2/(4*PI()))</x:f>
      </x:c>
      <x:c r="U110" s="36" t="str">
        <x:f>IF(G110="","",1.1*G110*100)</x:f>
      </x:c>
      <x:c r="V110" s="36" t="str">
        <x:f>IF(OR(E110="",T110="",U110=""),"",E110*T110/U110)</x:f>
      </x:c>
      <x:c r="W110" s="37" t="str">
        <x:f>IF(OR(F110="",T110="",U110=""),"",F110*T110/U110)</x:f>
      </x:c>
    </x:row>
    <x:row r="111">
      <x:c r="A111" s="32"/>
      <x:c r="B111" s="33"/>
      <x:c r="C111" s="34"/>
      <x:c r="D111" s="34"/>
      <x:c r="E111" s="35"/>
      <x:c r="F111" s="35"/>
      <x:c r="G111" s="35"/>
      <x:c r="H111" s="35"/>
      <x:c r="I111" s="35"/>
      <x:c r="J111" s="35"/>
      <x:c r="K111" s="34"/>
      <x:c r="L111" s="34"/>
      <x:c r="M111" s="34"/>
      <x:c r="N111" s="34"/>
      <x:c r="O111" s="34"/>
      <x:c r="P111" s="34"/>
      <x:c r="Q111" s="34"/>
      <x:c r="R111" s="36" t="str">
        <x:f>IF(OR(E111="",G111=""),"",E111/G111)</x:f>
      </x:c>
      <x:c r="S111" s="36" t="str">
        <x:f>IF(OR(F111="",G111=""),"",F111/G111)</x:f>
      </x:c>
      <x:c r="T111" s="36" t="str">
        <x:f>IF(OR(H111="",I111="",J111=""),"",0.45*H111^2/(4*PI())+0.10*I111^2/(4*PI())+0.45*J111^2/(4*PI()))</x:f>
      </x:c>
      <x:c r="U111" s="36" t="str">
        <x:f>IF(G111="","",1.1*G111*100)</x:f>
      </x:c>
      <x:c r="V111" s="36" t="str">
        <x:f>IF(OR(E111="",T111="",U111=""),"",E111*T111/U111)</x:f>
      </x:c>
      <x:c r="W111" s="37" t="str">
        <x:f>IF(OR(F111="",T111="",U111=""),"",F111*T111/U111)</x:f>
      </x:c>
    </x:row>
    <x:row r="112">
      <x:c r="A112" s="32"/>
      <x:c r="B112" s="33"/>
      <x:c r="C112" s="34"/>
      <x:c r="D112" s="34"/>
      <x:c r="E112" s="35"/>
      <x:c r="F112" s="35"/>
      <x:c r="G112" s="35"/>
      <x:c r="H112" s="35"/>
      <x:c r="I112" s="35"/>
      <x:c r="J112" s="35"/>
      <x:c r="K112" s="34"/>
      <x:c r="L112" s="34"/>
      <x:c r="M112" s="34"/>
      <x:c r="N112" s="34"/>
      <x:c r="O112" s="34"/>
      <x:c r="P112" s="34"/>
      <x:c r="Q112" s="34"/>
      <x:c r="R112" s="36" t="str">
        <x:f>IF(OR(E112="",G112=""),"",E112/G112)</x:f>
      </x:c>
      <x:c r="S112" s="36" t="str">
        <x:f>IF(OR(F112="",G112=""),"",F112/G112)</x:f>
      </x:c>
      <x:c r="T112" s="36" t="str">
        <x:f>IF(OR(H112="",I112="",J112=""),"",0.45*H112^2/(4*PI())+0.10*I112^2/(4*PI())+0.45*J112^2/(4*PI()))</x:f>
      </x:c>
      <x:c r="U112" s="36" t="str">
        <x:f>IF(G112="","",1.1*G112*100)</x:f>
      </x:c>
      <x:c r="V112" s="36" t="str">
        <x:f>IF(OR(E112="",T112="",U112=""),"",E112*T112/U112)</x:f>
      </x:c>
      <x:c r="W112" s="37" t="str">
        <x:f>IF(OR(F112="",T112="",U112=""),"",F112*T112/U112)</x:f>
      </x:c>
    </x:row>
    <x:row r="113">
      <x:c r="A113" s="32"/>
      <x:c r="B113" s="33"/>
      <x:c r="C113" s="34"/>
      <x:c r="D113" s="34"/>
      <x:c r="E113" s="35"/>
      <x:c r="F113" s="35"/>
      <x:c r="G113" s="35"/>
      <x:c r="H113" s="35"/>
      <x:c r="I113" s="35"/>
      <x:c r="J113" s="35"/>
      <x:c r="K113" s="34"/>
      <x:c r="L113" s="34"/>
      <x:c r="M113" s="34"/>
      <x:c r="N113" s="34"/>
      <x:c r="O113" s="34"/>
      <x:c r="P113" s="34"/>
      <x:c r="Q113" s="34"/>
      <x:c r="R113" s="36" t="str">
        <x:f>IF(OR(E113="",G113=""),"",E113/G113)</x:f>
      </x:c>
      <x:c r="S113" s="36" t="str">
        <x:f>IF(OR(F113="",G113=""),"",F113/G113)</x:f>
      </x:c>
      <x:c r="T113" s="36" t="str">
        <x:f>IF(OR(H113="",I113="",J113=""),"",0.45*H113^2/(4*PI())+0.10*I113^2/(4*PI())+0.45*J113^2/(4*PI()))</x:f>
      </x:c>
      <x:c r="U113" s="36" t="str">
        <x:f>IF(G113="","",1.1*G113*100)</x:f>
      </x:c>
      <x:c r="V113" s="36" t="str">
        <x:f>IF(OR(E113="",T113="",U113=""),"",E113*T113/U113)</x:f>
      </x:c>
      <x:c r="W113" s="37" t="str">
        <x:f>IF(OR(F113="",T113="",U113=""),"",F113*T113/U113)</x:f>
      </x:c>
    </x:row>
    <x:row r="114">
      <x:c r="A114" s="32"/>
      <x:c r="B114" s="33"/>
      <x:c r="C114" s="34"/>
      <x:c r="D114" s="34"/>
      <x:c r="E114" s="35"/>
      <x:c r="F114" s="35"/>
      <x:c r="G114" s="35"/>
      <x:c r="H114" s="35"/>
      <x:c r="I114" s="35"/>
      <x:c r="J114" s="35"/>
      <x:c r="K114" s="34"/>
      <x:c r="L114" s="34"/>
      <x:c r="M114" s="34"/>
      <x:c r="N114" s="34"/>
      <x:c r="O114" s="34"/>
      <x:c r="P114" s="34"/>
      <x:c r="Q114" s="34"/>
      <x:c r="R114" s="36" t="str">
        <x:f>IF(OR(E114="",G114=""),"",E114/G114)</x:f>
      </x:c>
      <x:c r="S114" s="36" t="str">
        <x:f>IF(OR(F114="",G114=""),"",F114/G114)</x:f>
      </x:c>
      <x:c r="T114" s="36" t="str">
        <x:f>IF(OR(H114="",I114="",J114=""),"",0.45*H114^2/(4*PI())+0.10*I114^2/(4*PI())+0.45*J114^2/(4*PI()))</x:f>
      </x:c>
      <x:c r="U114" s="36" t="str">
        <x:f>IF(G114="","",1.1*G114*100)</x:f>
      </x:c>
      <x:c r="V114" s="36" t="str">
        <x:f>IF(OR(E114="",T114="",U114=""),"",E114*T114/U114)</x:f>
      </x:c>
      <x:c r="W114" s="37" t="str">
        <x:f>IF(OR(F114="",T114="",U114=""),"",F114*T114/U114)</x:f>
      </x:c>
    </x:row>
    <x:row r="115">
      <x:c r="A115" s="32"/>
      <x:c r="B115" s="33"/>
      <x:c r="C115" s="34"/>
      <x:c r="D115" s="34"/>
      <x:c r="E115" s="35"/>
      <x:c r="F115" s="35"/>
      <x:c r="G115" s="35"/>
      <x:c r="H115" s="35"/>
      <x:c r="I115" s="35"/>
      <x:c r="J115" s="35"/>
      <x:c r="K115" s="34"/>
      <x:c r="L115" s="34"/>
      <x:c r="M115" s="34"/>
      <x:c r="N115" s="34"/>
      <x:c r="O115" s="34"/>
      <x:c r="P115" s="34"/>
      <x:c r="Q115" s="34"/>
      <x:c r="R115" s="36" t="str">
        <x:f>IF(OR(E115="",G115=""),"",E115/G115)</x:f>
      </x:c>
      <x:c r="S115" s="36" t="str">
        <x:f>IF(OR(F115="",G115=""),"",F115/G115)</x:f>
      </x:c>
      <x:c r="T115" s="36" t="str">
        <x:f>IF(OR(H115="",I115="",J115=""),"",0.45*H115^2/(4*PI())+0.10*I115^2/(4*PI())+0.45*J115^2/(4*PI()))</x:f>
      </x:c>
      <x:c r="U115" s="36" t="str">
        <x:f>IF(G115="","",1.1*G115*100)</x:f>
      </x:c>
      <x:c r="V115" s="36" t="str">
        <x:f>IF(OR(E115="",T115="",U115=""),"",E115*T115/U115)</x:f>
      </x:c>
      <x:c r="W115" s="37" t="str">
        <x:f>IF(OR(F115="",T115="",U115=""),"",F115*T115/U115)</x:f>
      </x:c>
    </x:row>
    <x:row r="116">
      <x:c r="A116" s="32"/>
      <x:c r="B116" s="33"/>
      <x:c r="C116" s="34"/>
      <x:c r="D116" s="34"/>
      <x:c r="E116" s="35"/>
      <x:c r="F116" s="35"/>
      <x:c r="G116" s="35"/>
      <x:c r="H116" s="35"/>
      <x:c r="I116" s="35"/>
      <x:c r="J116" s="35"/>
      <x:c r="K116" s="34"/>
      <x:c r="L116" s="34"/>
      <x:c r="M116" s="34"/>
      <x:c r="N116" s="34"/>
      <x:c r="O116" s="34"/>
      <x:c r="P116" s="34"/>
      <x:c r="Q116" s="34"/>
      <x:c r="R116" s="36" t="str">
        <x:f>IF(OR(E116="",G116=""),"",E116/G116)</x:f>
      </x:c>
      <x:c r="S116" s="36" t="str">
        <x:f>IF(OR(F116="",G116=""),"",F116/G116)</x:f>
      </x:c>
      <x:c r="T116" s="36" t="str">
        <x:f>IF(OR(H116="",I116="",J116=""),"",0.45*H116^2/(4*PI())+0.10*I116^2/(4*PI())+0.45*J116^2/(4*PI()))</x:f>
      </x:c>
      <x:c r="U116" s="36" t="str">
        <x:f>IF(G116="","",1.1*G116*100)</x:f>
      </x:c>
      <x:c r="V116" s="36" t="str">
        <x:f>IF(OR(E116="",T116="",U116=""),"",E116*T116/U116)</x:f>
      </x:c>
      <x:c r="W116" s="37" t="str">
        <x:f>IF(OR(F116="",T116="",U116=""),"",F116*T116/U116)</x:f>
      </x:c>
    </x:row>
    <x:row r="117">
      <x:c r="A117" s="32"/>
      <x:c r="B117" s="33"/>
      <x:c r="C117" s="34"/>
      <x:c r="D117" s="34"/>
      <x:c r="E117" s="35"/>
      <x:c r="F117" s="35"/>
      <x:c r="G117" s="35"/>
      <x:c r="H117" s="35"/>
      <x:c r="I117" s="35"/>
      <x:c r="J117" s="35"/>
      <x:c r="K117" s="34"/>
      <x:c r="L117" s="34"/>
      <x:c r="M117" s="34"/>
      <x:c r="N117" s="34"/>
      <x:c r="O117" s="34"/>
      <x:c r="P117" s="34"/>
      <x:c r="Q117" s="34"/>
      <x:c r="R117" s="36" t="str">
        <x:f>IF(OR(E117="",G117=""),"",E117/G117)</x:f>
      </x:c>
      <x:c r="S117" s="36" t="str">
        <x:f>IF(OR(F117="",G117=""),"",F117/G117)</x:f>
      </x:c>
      <x:c r="T117" s="36" t="str">
        <x:f>IF(OR(H117="",I117="",J117=""),"",0.45*H117^2/(4*PI())+0.10*I117^2/(4*PI())+0.45*J117^2/(4*PI()))</x:f>
      </x:c>
      <x:c r="U117" s="36" t="str">
        <x:f>IF(G117="","",1.1*G117*100)</x:f>
      </x:c>
      <x:c r="V117" s="36" t="str">
        <x:f>IF(OR(E117="",T117="",U117=""),"",E117*T117/U117)</x:f>
      </x:c>
      <x:c r="W117" s="37" t="str">
        <x:f>IF(OR(F117="",T117="",U117=""),"",F117*T117/U117)</x:f>
      </x:c>
    </x:row>
    <x:row r="118">
      <x:c r="A118" s="32"/>
      <x:c r="B118" s="33"/>
      <x:c r="C118" s="34"/>
      <x:c r="D118" s="34"/>
      <x:c r="E118" s="35"/>
      <x:c r="F118" s="35"/>
      <x:c r="G118" s="35"/>
      <x:c r="H118" s="35"/>
      <x:c r="I118" s="35"/>
      <x:c r="J118" s="35"/>
      <x:c r="K118" s="34"/>
      <x:c r="L118" s="34"/>
      <x:c r="M118" s="34"/>
      <x:c r="N118" s="34"/>
      <x:c r="O118" s="34"/>
      <x:c r="P118" s="34"/>
      <x:c r="Q118" s="34"/>
      <x:c r="R118" s="36" t="str">
        <x:f>IF(OR(E118="",G118=""),"",E118/G118)</x:f>
      </x:c>
      <x:c r="S118" s="36" t="str">
        <x:f>IF(OR(F118="",G118=""),"",F118/G118)</x:f>
      </x:c>
      <x:c r="T118" s="36" t="str">
        <x:f>IF(OR(H118="",I118="",J118=""),"",0.45*H118^2/(4*PI())+0.10*I118^2/(4*PI())+0.45*J118^2/(4*PI()))</x:f>
      </x:c>
      <x:c r="U118" s="36" t="str">
        <x:f>IF(G118="","",1.1*G118*100)</x:f>
      </x:c>
      <x:c r="V118" s="36" t="str">
        <x:f>IF(OR(E118="",T118="",U118=""),"",E118*T118/U118)</x:f>
      </x:c>
      <x:c r="W118" s="37" t="str">
        <x:f>IF(OR(F118="",T118="",U118=""),"",F118*T118/U118)</x:f>
      </x:c>
    </x:row>
    <x:row r="119">
      <x:c r="A119" s="32"/>
      <x:c r="B119" s="33"/>
      <x:c r="C119" s="34"/>
      <x:c r="D119" s="34"/>
      <x:c r="E119" s="35"/>
      <x:c r="F119" s="35"/>
      <x:c r="G119" s="35"/>
      <x:c r="H119" s="35"/>
      <x:c r="I119" s="35"/>
      <x:c r="J119" s="35"/>
      <x:c r="K119" s="34"/>
      <x:c r="L119" s="34"/>
      <x:c r="M119" s="34"/>
      <x:c r="N119" s="34"/>
      <x:c r="O119" s="34"/>
      <x:c r="P119" s="34"/>
      <x:c r="Q119" s="34"/>
      <x:c r="R119" s="36" t="str">
        <x:f>IF(OR(E119="",G119=""),"",E119/G119)</x:f>
      </x:c>
      <x:c r="S119" s="36" t="str">
        <x:f>IF(OR(F119="",G119=""),"",F119/G119)</x:f>
      </x:c>
      <x:c r="T119" s="36" t="str">
        <x:f>IF(OR(H119="",I119="",J119=""),"",0.45*H119^2/(4*PI())+0.10*I119^2/(4*PI())+0.45*J119^2/(4*PI()))</x:f>
      </x:c>
      <x:c r="U119" s="36" t="str">
        <x:f>IF(G119="","",1.1*G119*100)</x:f>
      </x:c>
      <x:c r="V119" s="36" t="str">
        <x:f>IF(OR(E119="",T119="",U119=""),"",E119*T119/U119)</x:f>
      </x:c>
      <x:c r="W119" s="37" t="str">
        <x:f>IF(OR(F119="",T119="",U119=""),"",F119*T119/U119)</x:f>
      </x:c>
    </x:row>
    <x:row r="120">
      <x:c r="A120" s="32"/>
      <x:c r="B120" s="33"/>
      <x:c r="C120" s="34"/>
      <x:c r="D120" s="34"/>
      <x:c r="E120" s="35"/>
      <x:c r="F120" s="35"/>
      <x:c r="G120" s="35"/>
      <x:c r="H120" s="35"/>
      <x:c r="I120" s="35"/>
      <x:c r="J120" s="35"/>
      <x:c r="K120" s="34"/>
      <x:c r="L120" s="34"/>
      <x:c r="M120" s="34"/>
      <x:c r="N120" s="34"/>
      <x:c r="O120" s="34"/>
      <x:c r="P120" s="34"/>
      <x:c r="Q120" s="34"/>
      <x:c r="R120" s="36" t="str">
        <x:f>IF(OR(E120="",G120=""),"",E120/G120)</x:f>
      </x:c>
      <x:c r="S120" s="36" t="str">
        <x:f>IF(OR(F120="",G120=""),"",F120/G120)</x:f>
      </x:c>
      <x:c r="T120" s="36" t="str">
        <x:f>IF(OR(H120="",I120="",J120=""),"",0.45*H120^2/(4*PI())+0.10*I120^2/(4*PI())+0.45*J120^2/(4*PI()))</x:f>
      </x:c>
      <x:c r="U120" s="36" t="str">
        <x:f>IF(G120="","",1.1*G120*100)</x:f>
      </x:c>
      <x:c r="V120" s="36" t="str">
        <x:f>IF(OR(E120="",T120="",U120=""),"",E120*T120/U120)</x:f>
      </x:c>
      <x:c r="W120" s="37" t="str">
        <x:f>IF(OR(F120="",T120="",U120=""),"",F120*T120/U120)</x:f>
      </x:c>
    </x:row>
    <x:row r="121">
      <x:c r="A121" s="32"/>
      <x:c r="B121" s="33"/>
      <x:c r="C121" s="34"/>
      <x:c r="D121" s="34"/>
      <x:c r="E121" s="35"/>
      <x:c r="F121" s="35"/>
      <x:c r="G121" s="35"/>
      <x:c r="H121" s="35"/>
      <x:c r="I121" s="35"/>
      <x:c r="J121" s="35"/>
      <x:c r="K121" s="34"/>
      <x:c r="L121" s="34"/>
      <x:c r="M121" s="34"/>
      <x:c r="N121" s="34"/>
      <x:c r="O121" s="34"/>
      <x:c r="P121" s="34"/>
      <x:c r="Q121" s="34"/>
      <x:c r="R121" s="36" t="str">
        <x:f>IF(OR(E121="",G121=""),"",E121/G121)</x:f>
      </x:c>
      <x:c r="S121" s="36" t="str">
        <x:f>IF(OR(F121="",G121=""),"",F121/G121)</x:f>
      </x:c>
      <x:c r="T121" s="36" t="str">
        <x:f>IF(OR(H121="",I121="",J121=""),"",0.45*H121^2/(4*PI())+0.10*I121^2/(4*PI())+0.45*J121^2/(4*PI()))</x:f>
      </x:c>
      <x:c r="U121" s="36" t="str">
        <x:f>IF(G121="","",1.1*G121*100)</x:f>
      </x:c>
      <x:c r="V121" s="36" t="str">
        <x:f>IF(OR(E121="",T121="",U121=""),"",E121*T121/U121)</x:f>
      </x:c>
      <x:c r="W121" s="37" t="str">
        <x:f>IF(OR(F121="",T121="",U121=""),"",F121*T121/U121)</x:f>
      </x:c>
    </x:row>
    <x:row r="122">
      <x:c r="A122" s="32"/>
      <x:c r="B122" s="33"/>
      <x:c r="C122" s="34"/>
      <x:c r="D122" s="34"/>
      <x:c r="E122" s="35"/>
      <x:c r="F122" s="35"/>
      <x:c r="G122" s="35"/>
      <x:c r="H122" s="35"/>
      <x:c r="I122" s="35"/>
      <x:c r="J122" s="35"/>
      <x:c r="K122" s="34"/>
      <x:c r="L122" s="34"/>
      <x:c r="M122" s="34"/>
      <x:c r="N122" s="34"/>
      <x:c r="O122" s="34"/>
      <x:c r="P122" s="34"/>
      <x:c r="Q122" s="34"/>
      <x:c r="R122" s="36" t="str">
        <x:f>IF(OR(E122="",G122=""),"",E122/G122)</x:f>
      </x:c>
      <x:c r="S122" s="36" t="str">
        <x:f>IF(OR(F122="",G122=""),"",F122/G122)</x:f>
      </x:c>
      <x:c r="T122" s="36" t="str">
        <x:f>IF(OR(H122="",I122="",J122=""),"",0.45*H122^2/(4*PI())+0.10*I122^2/(4*PI())+0.45*J122^2/(4*PI()))</x:f>
      </x:c>
      <x:c r="U122" s="36" t="str">
        <x:f>IF(G122="","",1.1*G122*100)</x:f>
      </x:c>
      <x:c r="V122" s="36" t="str">
        <x:f>IF(OR(E122="",T122="",U122=""),"",E122*T122/U122)</x:f>
      </x:c>
      <x:c r="W122" s="37" t="str">
        <x:f>IF(OR(F122="",T122="",U122=""),"",F122*T122/U122)</x:f>
      </x:c>
    </x:row>
    <x:row r="123">
      <x:c r="A123" s="32"/>
      <x:c r="B123" s="33"/>
      <x:c r="C123" s="34"/>
      <x:c r="D123" s="34"/>
      <x:c r="E123" s="35"/>
      <x:c r="F123" s="35"/>
      <x:c r="G123" s="35"/>
      <x:c r="H123" s="35"/>
      <x:c r="I123" s="35"/>
      <x:c r="J123" s="35"/>
      <x:c r="K123" s="34"/>
      <x:c r="L123" s="34"/>
      <x:c r="M123" s="34"/>
      <x:c r="N123" s="34"/>
      <x:c r="O123" s="34"/>
      <x:c r="P123" s="34"/>
      <x:c r="Q123" s="34"/>
      <x:c r="R123" s="36" t="str">
        <x:f>IF(OR(E123="",G123=""),"",E123/G123)</x:f>
      </x:c>
      <x:c r="S123" s="36" t="str">
        <x:f>IF(OR(F123="",G123=""),"",F123/G123)</x:f>
      </x:c>
      <x:c r="T123" s="36" t="str">
        <x:f>IF(OR(H123="",I123="",J123=""),"",0.45*H123^2/(4*PI())+0.10*I123^2/(4*PI())+0.45*J123^2/(4*PI()))</x:f>
      </x:c>
      <x:c r="U123" s="36" t="str">
        <x:f>IF(G123="","",1.1*G123*100)</x:f>
      </x:c>
      <x:c r="V123" s="36" t="str">
        <x:f>IF(OR(E123="",T123="",U123=""),"",E123*T123/U123)</x:f>
      </x:c>
      <x:c r="W123" s="37" t="str">
        <x:f>IF(OR(F123="",T123="",U123=""),"",F123*T123/U123)</x:f>
      </x:c>
    </x:row>
    <x:row r="124">
      <x:c r="A124" s="32"/>
      <x:c r="B124" s="33"/>
      <x:c r="C124" s="34"/>
      <x:c r="D124" s="34"/>
      <x:c r="E124" s="35"/>
      <x:c r="F124" s="35"/>
      <x:c r="G124" s="35"/>
      <x:c r="H124" s="35"/>
      <x:c r="I124" s="35"/>
      <x:c r="J124" s="35"/>
      <x:c r="K124" s="34"/>
      <x:c r="L124" s="34"/>
      <x:c r="M124" s="34"/>
      <x:c r="N124" s="34"/>
      <x:c r="O124" s="34"/>
      <x:c r="P124" s="34"/>
      <x:c r="Q124" s="34"/>
      <x:c r="R124" s="36" t="str">
        <x:f>IF(OR(E124="",G124=""),"",E124/G124)</x:f>
      </x:c>
      <x:c r="S124" s="36" t="str">
        <x:f>IF(OR(F124="",G124=""),"",F124/G124)</x:f>
      </x:c>
      <x:c r="T124" s="36" t="str">
        <x:f>IF(OR(H124="",I124="",J124=""),"",0.45*H124^2/(4*PI())+0.10*I124^2/(4*PI())+0.45*J124^2/(4*PI()))</x:f>
      </x:c>
      <x:c r="U124" s="36" t="str">
        <x:f>IF(G124="","",1.1*G124*100)</x:f>
      </x:c>
      <x:c r="V124" s="36" t="str">
        <x:f>IF(OR(E124="",T124="",U124=""),"",E124*T124/U124)</x:f>
      </x:c>
      <x:c r="W124" s="37" t="str">
        <x:f>IF(OR(F124="",T124="",U124=""),"",F124*T124/U124)</x:f>
      </x:c>
    </x:row>
    <x:row r="125">
      <x:c r="A125" s="32"/>
      <x:c r="B125" s="33"/>
      <x:c r="C125" s="34"/>
      <x:c r="D125" s="34"/>
      <x:c r="E125" s="35"/>
      <x:c r="F125" s="35"/>
      <x:c r="G125" s="35"/>
      <x:c r="H125" s="35"/>
      <x:c r="I125" s="35"/>
      <x:c r="J125" s="35"/>
      <x:c r="K125" s="34"/>
      <x:c r="L125" s="34"/>
      <x:c r="M125" s="34"/>
      <x:c r="N125" s="34"/>
      <x:c r="O125" s="34"/>
      <x:c r="P125" s="34"/>
      <x:c r="Q125" s="34"/>
      <x:c r="R125" s="36" t="str">
        <x:f>IF(OR(E125="",G125=""),"",E125/G125)</x:f>
      </x:c>
      <x:c r="S125" s="36" t="str">
        <x:f>IF(OR(F125="",G125=""),"",F125/G125)</x:f>
      </x:c>
      <x:c r="T125" s="36" t="str">
        <x:f>IF(OR(H125="",I125="",J125=""),"",0.45*H125^2/(4*PI())+0.10*I125^2/(4*PI())+0.45*J125^2/(4*PI()))</x:f>
      </x:c>
      <x:c r="U125" s="36" t="str">
        <x:f>IF(G125="","",1.1*G125*100)</x:f>
      </x:c>
      <x:c r="V125" s="36" t="str">
        <x:f>IF(OR(E125="",T125="",U125=""),"",E125*T125/U125)</x:f>
      </x:c>
      <x:c r="W125" s="37" t="str">
        <x:f>IF(OR(F125="",T125="",U125=""),"",F125*T125/U125)</x:f>
      </x:c>
    </x:row>
    <x:row r="126">
      <x:c r="A126" s="32"/>
      <x:c r="B126" s="33"/>
      <x:c r="C126" s="34"/>
      <x:c r="D126" s="34"/>
      <x:c r="E126" s="35"/>
      <x:c r="F126" s="35"/>
      <x:c r="G126" s="35"/>
      <x:c r="H126" s="35"/>
      <x:c r="I126" s="35"/>
      <x:c r="J126" s="35"/>
      <x:c r="K126" s="34"/>
      <x:c r="L126" s="34"/>
      <x:c r="M126" s="34"/>
      <x:c r="N126" s="34"/>
      <x:c r="O126" s="34"/>
      <x:c r="P126" s="34"/>
      <x:c r="Q126" s="34"/>
      <x:c r="R126" s="36" t="str">
        <x:f>IF(OR(E126="",G126=""),"",E126/G126)</x:f>
      </x:c>
      <x:c r="S126" s="36" t="str">
        <x:f>IF(OR(F126="",G126=""),"",F126/G126)</x:f>
      </x:c>
      <x:c r="T126" s="36" t="str">
        <x:f>IF(OR(H126="",I126="",J126=""),"",0.45*H126^2/(4*PI())+0.10*I126^2/(4*PI())+0.45*J126^2/(4*PI()))</x:f>
      </x:c>
      <x:c r="U126" s="36" t="str">
        <x:f>IF(G126="","",1.1*G126*100)</x:f>
      </x:c>
      <x:c r="V126" s="36" t="str">
        <x:f>IF(OR(E126="",T126="",U126=""),"",E126*T126/U126)</x:f>
      </x:c>
      <x:c r="W126" s="37" t="str">
        <x:f>IF(OR(F126="",T126="",U126=""),"",F126*T126/U126)</x:f>
      </x:c>
    </x:row>
    <x:row r="127">
      <x:c r="A127" s="32"/>
      <x:c r="B127" s="33"/>
      <x:c r="C127" s="34"/>
      <x:c r="D127" s="34"/>
      <x:c r="E127" s="35"/>
      <x:c r="F127" s="35"/>
      <x:c r="G127" s="35"/>
      <x:c r="H127" s="35"/>
      <x:c r="I127" s="35"/>
      <x:c r="J127" s="35"/>
      <x:c r="K127" s="34"/>
      <x:c r="L127" s="34"/>
      <x:c r="M127" s="34"/>
      <x:c r="N127" s="34"/>
      <x:c r="O127" s="34"/>
      <x:c r="P127" s="34"/>
      <x:c r="Q127" s="34"/>
      <x:c r="R127" s="36" t="str">
        <x:f>IF(OR(E127="",G127=""),"",E127/G127)</x:f>
      </x:c>
      <x:c r="S127" s="36" t="str">
        <x:f>IF(OR(F127="",G127=""),"",F127/G127)</x:f>
      </x:c>
      <x:c r="T127" s="36" t="str">
        <x:f>IF(OR(H127="",I127="",J127=""),"",0.45*H127^2/(4*PI())+0.10*I127^2/(4*PI())+0.45*J127^2/(4*PI()))</x:f>
      </x:c>
      <x:c r="U127" s="36" t="str">
        <x:f>IF(G127="","",1.1*G127*100)</x:f>
      </x:c>
      <x:c r="V127" s="36" t="str">
        <x:f>IF(OR(E127="",T127="",U127=""),"",E127*T127/U127)</x:f>
      </x:c>
      <x:c r="W127" s="37" t="str">
        <x:f>IF(OR(F127="",T127="",U127=""),"",F127*T127/U127)</x:f>
      </x:c>
    </x:row>
    <x:row r="128">
      <x:c r="A128" s="32"/>
      <x:c r="B128" s="33"/>
      <x:c r="C128" s="34"/>
      <x:c r="D128" s="34"/>
      <x:c r="E128" s="35"/>
      <x:c r="F128" s="35"/>
      <x:c r="G128" s="35"/>
      <x:c r="H128" s="35"/>
      <x:c r="I128" s="35"/>
      <x:c r="J128" s="35"/>
      <x:c r="K128" s="34"/>
      <x:c r="L128" s="34"/>
      <x:c r="M128" s="34"/>
      <x:c r="N128" s="34"/>
      <x:c r="O128" s="34"/>
      <x:c r="P128" s="34"/>
      <x:c r="Q128" s="34"/>
      <x:c r="R128" s="36" t="str">
        <x:f>IF(OR(E128="",G128=""),"",E128/G128)</x:f>
      </x:c>
      <x:c r="S128" s="36" t="str">
        <x:f>IF(OR(F128="",G128=""),"",F128/G128)</x:f>
      </x:c>
      <x:c r="T128" s="36" t="str">
        <x:f>IF(OR(H128="",I128="",J128=""),"",0.45*H128^2/(4*PI())+0.10*I128^2/(4*PI())+0.45*J128^2/(4*PI()))</x:f>
      </x:c>
      <x:c r="U128" s="36" t="str">
        <x:f>IF(G128="","",1.1*G128*100)</x:f>
      </x:c>
      <x:c r="V128" s="36" t="str">
        <x:f>IF(OR(E128="",T128="",U128=""),"",E128*T128/U128)</x:f>
      </x:c>
      <x:c r="W128" s="37" t="str">
        <x:f>IF(OR(F128="",T128="",U128=""),"",F128*T128/U128)</x:f>
      </x:c>
    </x:row>
    <x:row r="129">
      <x:c r="A129" s="32"/>
      <x:c r="B129" s="33"/>
      <x:c r="C129" s="34"/>
      <x:c r="D129" s="34"/>
      <x:c r="E129" s="35"/>
      <x:c r="F129" s="35"/>
      <x:c r="G129" s="35"/>
      <x:c r="H129" s="35"/>
      <x:c r="I129" s="35"/>
      <x:c r="J129" s="35"/>
      <x:c r="K129" s="34"/>
      <x:c r="L129" s="34"/>
      <x:c r="M129" s="34"/>
      <x:c r="N129" s="34"/>
      <x:c r="O129" s="34"/>
      <x:c r="P129" s="34"/>
      <x:c r="Q129" s="34"/>
      <x:c r="R129" s="36" t="str">
        <x:f>IF(OR(E129="",G129=""),"",E129/G129)</x:f>
      </x:c>
      <x:c r="S129" s="36" t="str">
        <x:f>IF(OR(F129="",G129=""),"",F129/G129)</x:f>
      </x:c>
      <x:c r="T129" s="36" t="str">
        <x:f>IF(OR(H129="",I129="",J129=""),"",0.45*H129^2/(4*PI())+0.10*I129^2/(4*PI())+0.45*J129^2/(4*PI()))</x:f>
      </x:c>
      <x:c r="U129" s="36" t="str">
        <x:f>IF(G129="","",1.1*G129*100)</x:f>
      </x:c>
      <x:c r="V129" s="36" t="str">
        <x:f>IF(OR(E129="",T129="",U129=""),"",E129*T129/U129)</x:f>
      </x:c>
      <x:c r="W129" s="37" t="str">
        <x:f>IF(OR(F129="",T129="",U129=""),"",F129*T129/U129)</x:f>
      </x:c>
    </x:row>
    <x:row r="130">
      <x:c r="A130" s="32"/>
      <x:c r="B130" s="33"/>
      <x:c r="C130" s="34"/>
      <x:c r="D130" s="34"/>
      <x:c r="E130" s="35"/>
      <x:c r="F130" s="35"/>
      <x:c r="G130" s="35"/>
      <x:c r="H130" s="35"/>
      <x:c r="I130" s="35"/>
      <x:c r="J130" s="35"/>
      <x:c r="K130" s="34"/>
      <x:c r="L130" s="34"/>
      <x:c r="M130" s="34"/>
      <x:c r="N130" s="34"/>
      <x:c r="O130" s="34"/>
      <x:c r="P130" s="34"/>
      <x:c r="Q130" s="34"/>
      <x:c r="R130" s="36" t="str">
        <x:f>IF(OR(E130="",G130=""),"",E130/G130)</x:f>
      </x:c>
      <x:c r="S130" s="36" t="str">
        <x:f>IF(OR(F130="",G130=""),"",F130/G130)</x:f>
      </x:c>
      <x:c r="T130" s="36" t="str">
        <x:f>IF(OR(H130="",I130="",J130=""),"",0.45*H130^2/(4*PI())+0.10*I130^2/(4*PI())+0.45*J130^2/(4*PI()))</x:f>
      </x:c>
      <x:c r="U130" s="36" t="str">
        <x:f>IF(G130="","",1.1*G130*100)</x:f>
      </x:c>
      <x:c r="V130" s="36" t="str">
        <x:f>IF(OR(E130="",T130="",U130=""),"",E130*T130/U130)</x:f>
      </x:c>
      <x:c r="W130" s="37" t="str">
        <x:f>IF(OR(F130="",T130="",U130=""),"",F130*T130/U130)</x:f>
      </x:c>
    </x:row>
    <x:row r="131">
      <x:c r="A131" s="32"/>
      <x:c r="B131" s="33"/>
      <x:c r="C131" s="34"/>
      <x:c r="D131" s="34"/>
      <x:c r="E131" s="35"/>
      <x:c r="F131" s="35"/>
      <x:c r="G131" s="35"/>
      <x:c r="H131" s="35"/>
      <x:c r="I131" s="35"/>
      <x:c r="J131" s="35"/>
      <x:c r="K131" s="34"/>
      <x:c r="L131" s="34"/>
      <x:c r="M131" s="34"/>
      <x:c r="N131" s="34"/>
      <x:c r="O131" s="34"/>
      <x:c r="P131" s="34"/>
      <x:c r="Q131" s="34"/>
      <x:c r="R131" s="36" t="str">
        <x:f>IF(OR(E131="",G131=""),"",E131/G131)</x:f>
      </x:c>
      <x:c r="S131" s="36" t="str">
        <x:f>IF(OR(F131="",G131=""),"",F131/G131)</x:f>
      </x:c>
      <x:c r="T131" s="36" t="str">
        <x:f>IF(OR(H131="",I131="",J131=""),"",0.45*H131^2/(4*PI())+0.10*I131^2/(4*PI())+0.45*J131^2/(4*PI()))</x:f>
      </x:c>
      <x:c r="U131" s="36" t="str">
        <x:f>IF(G131="","",1.1*G131*100)</x:f>
      </x:c>
      <x:c r="V131" s="36" t="str">
        <x:f>IF(OR(E131="",T131="",U131=""),"",E131*T131/U131)</x:f>
      </x:c>
      <x:c r="W131" s="37" t="str">
        <x:f>IF(OR(F131="",T131="",U131=""),"",F131*T131/U131)</x:f>
      </x:c>
    </x:row>
    <x:row r="132">
      <x:c r="A132" s="32"/>
      <x:c r="B132" s="33"/>
      <x:c r="C132" s="34"/>
      <x:c r="D132" s="34"/>
      <x:c r="E132" s="35"/>
      <x:c r="F132" s="35"/>
      <x:c r="G132" s="35"/>
      <x:c r="H132" s="35"/>
      <x:c r="I132" s="35"/>
      <x:c r="J132" s="35"/>
      <x:c r="K132" s="34"/>
      <x:c r="L132" s="34"/>
      <x:c r="M132" s="34"/>
      <x:c r="N132" s="34"/>
      <x:c r="O132" s="34"/>
      <x:c r="P132" s="34"/>
      <x:c r="Q132" s="34"/>
      <x:c r="R132" s="36" t="str">
        <x:f>IF(OR(E132="",G132=""),"",E132/G132)</x:f>
      </x:c>
      <x:c r="S132" s="36" t="str">
        <x:f>IF(OR(F132="",G132=""),"",F132/G132)</x:f>
      </x:c>
      <x:c r="T132" s="36" t="str">
        <x:f>IF(OR(H132="",I132="",J132=""),"",0.45*H132^2/(4*PI())+0.10*I132^2/(4*PI())+0.45*J132^2/(4*PI()))</x:f>
      </x:c>
      <x:c r="U132" s="36" t="str">
        <x:f>IF(G132="","",1.1*G132*100)</x:f>
      </x:c>
      <x:c r="V132" s="36" t="str">
        <x:f>IF(OR(E132="",T132="",U132=""),"",E132*T132/U132)</x:f>
      </x:c>
      <x:c r="W132" s="37" t="str">
        <x:f>IF(OR(F132="",T132="",U132=""),"",F132*T132/U132)</x:f>
      </x:c>
    </x:row>
    <x:row r="133">
      <x:c r="A133" s="32"/>
      <x:c r="B133" s="33"/>
      <x:c r="C133" s="34"/>
      <x:c r="D133" s="34"/>
      <x:c r="E133" s="35"/>
      <x:c r="F133" s="35"/>
      <x:c r="G133" s="35"/>
      <x:c r="H133" s="35"/>
      <x:c r="I133" s="35"/>
      <x:c r="J133" s="35"/>
      <x:c r="K133" s="34"/>
      <x:c r="L133" s="34"/>
      <x:c r="M133" s="34"/>
      <x:c r="N133" s="34"/>
      <x:c r="O133" s="34"/>
      <x:c r="P133" s="34"/>
      <x:c r="Q133" s="34"/>
      <x:c r="R133" s="36" t="str">
        <x:f>IF(OR(E133="",G133=""),"",E133/G133)</x:f>
      </x:c>
      <x:c r="S133" s="36" t="str">
        <x:f>IF(OR(F133="",G133=""),"",F133/G133)</x:f>
      </x:c>
      <x:c r="T133" s="36" t="str">
        <x:f>IF(OR(H133="",I133="",J133=""),"",0.45*H133^2/(4*PI())+0.10*I133^2/(4*PI())+0.45*J133^2/(4*PI()))</x:f>
      </x:c>
      <x:c r="U133" s="36" t="str">
        <x:f>IF(G133="","",1.1*G133*100)</x:f>
      </x:c>
      <x:c r="V133" s="36" t="str">
        <x:f>IF(OR(E133="",T133="",U133=""),"",E133*T133/U133)</x:f>
      </x:c>
      <x:c r="W133" s="37" t="str">
        <x:f>IF(OR(F133="",T133="",U133=""),"",F133*T133/U133)</x:f>
      </x:c>
    </x:row>
    <x:row r="134">
      <x:c r="A134" s="32"/>
      <x:c r="B134" s="33"/>
      <x:c r="C134" s="34"/>
      <x:c r="D134" s="34"/>
      <x:c r="E134" s="35"/>
      <x:c r="F134" s="35"/>
      <x:c r="G134" s="35"/>
      <x:c r="H134" s="35"/>
      <x:c r="I134" s="35"/>
      <x:c r="J134" s="35"/>
      <x:c r="K134" s="34"/>
      <x:c r="L134" s="34"/>
      <x:c r="M134" s="34"/>
      <x:c r="N134" s="34"/>
      <x:c r="O134" s="34"/>
      <x:c r="P134" s="34"/>
      <x:c r="Q134" s="34"/>
      <x:c r="R134" s="36" t="str">
        <x:f>IF(OR(E134="",G134=""),"",E134/G134)</x:f>
      </x:c>
      <x:c r="S134" s="36" t="str">
        <x:f>IF(OR(F134="",G134=""),"",F134/G134)</x:f>
      </x:c>
      <x:c r="T134" s="36" t="str">
        <x:f>IF(OR(H134="",I134="",J134=""),"",0.45*H134^2/(4*PI())+0.10*I134^2/(4*PI())+0.45*J134^2/(4*PI()))</x:f>
      </x:c>
      <x:c r="U134" s="36" t="str">
        <x:f>IF(G134="","",1.1*G134*100)</x:f>
      </x:c>
      <x:c r="V134" s="36" t="str">
        <x:f>IF(OR(E134="",T134="",U134=""),"",E134*T134/U134)</x:f>
      </x:c>
      <x:c r="W134" s="37" t="str">
        <x:f>IF(OR(F134="",T134="",U134=""),"",F134*T134/U134)</x:f>
      </x:c>
    </x:row>
    <x:row r="135">
      <x:c r="A135" s="32"/>
      <x:c r="B135" s="33"/>
      <x:c r="C135" s="34"/>
      <x:c r="D135" s="34"/>
      <x:c r="E135" s="35"/>
      <x:c r="F135" s="35"/>
      <x:c r="G135" s="35"/>
      <x:c r="H135" s="35"/>
      <x:c r="I135" s="35"/>
      <x:c r="J135" s="35"/>
      <x:c r="K135" s="34"/>
      <x:c r="L135" s="34"/>
      <x:c r="M135" s="34"/>
      <x:c r="N135" s="34"/>
      <x:c r="O135" s="34"/>
      <x:c r="P135" s="34"/>
      <x:c r="Q135" s="34"/>
      <x:c r="R135" s="36" t="str">
        <x:f>IF(OR(E135="",G135=""),"",E135/G135)</x:f>
      </x:c>
      <x:c r="S135" s="36" t="str">
        <x:f>IF(OR(F135="",G135=""),"",F135/G135)</x:f>
      </x:c>
      <x:c r="T135" s="36" t="str">
        <x:f>IF(OR(H135="",I135="",J135=""),"",0.45*H135^2/(4*PI())+0.10*I135^2/(4*PI())+0.45*J135^2/(4*PI()))</x:f>
      </x:c>
      <x:c r="U135" s="36" t="str">
        <x:f>IF(G135="","",1.1*G135*100)</x:f>
      </x:c>
      <x:c r="V135" s="36" t="str">
        <x:f>IF(OR(E135="",T135="",U135=""),"",E135*T135/U135)</x:f>
      </x:c>
      <x:c r="W135" s="37" t="str">
        <x:f>IF(OR(F135="",T135="",U135=""),"",F135*T135/U135)</x:f>
      </x:c>
    </x:row>
    <x:row r="136">
      <x:c r="A136" s="32"/>
      <x:c r="B136" s="33"/>
      <x:c r="C136" s="34"/>
      <x:c r="D136" s="34"/>
      <x:c r="E136" s="35"/>
      <x:c r="F136" s="35"/>
      <x:c r="G136" s="35"/>
      <x:c r="H136" s="35"/>
      <x:c r="I136" s="35"/>
      <x:c r="J136" s="35"/>
      <x:c r="K136" s="34"/>
      <x:c r="L136" s="34"/>
      <x:c r="M136" s="34"/>
      <x:c r="N136" s="34"/>
      <x:c r="O136" s="34"/>
      <x:c r="P136" s="34"/>
      <x:c r="Q136" s="34"/>
      <x:c r="R136" s="36" t="str">
        <x:f>IF(OR(E136="",G136=""),"",E136/G136)</x:f>
      </x:c>
      <x:c r="S136" s="36" t="str">
        <x:f>IF(OR(F136="",G136=""),"",F136/G136)</x:f>
      </x:c>
      <x:c r="T136" s="36" t="str">
        <x:f>IF(OR(H136="",I136="",J136=""),"",0.45*H136^2/(4*PI())+0.10*I136^2/(4*PI())+0.45*J136^2/(4*PI()))</x:f>
      </x:c>
      <x:c r="U136" s="36" t="str">
        <x:f>IF(G136="","",1.1*G136*100)</x:f>
      </x:c>
      <x:c r="V136" s="36" t="str">
        <x:f>IF(OR(E136="",T136="",U136=""),"",E136*T136/U136)</x:f>
      </x:c>
      <x:c r="W136" s="37" t="str">
        <x:f>IF(OR(F136="",T136="",U136=""),"",F136*T136/U136)</x:f>
      </x:c>
    </x:row>
    <x:row r="137">
      <x:c r="A137" s="32"/>
      <x:c r="B137" s="33"/>
      <x:c r="C137" s="34"/>
      <x:c r="D137" s="34"/>
      <x:c r="E137" s="35"/>
      <x:c r="F137" s="35"/>
      <x:c r="G137" s="35"/>
      <x:c r="H137" s="35"/>
      <x:c r="I137" s="35"/>
      <x:c r="J137" s="35"/>
      <x:c r="K137" s="34"/>
      <x:c r="L137" s="34"/>
      <x:c r="M137" s="34"/>
      <x:c r="N137" s="34"/>
      <x:c r="O137" s="34"/>
      <x:c r="P137" s="34"/>
      <x:c r="Q137" s="34"/>
      <x:c r="R137" s="36" t="str">
        <x:f>IF(OR(E137="",G137=""),"",E137/G137)</x:f>
      </x:c>
      <x:c r="S137" s="36" t="str">
        <x:f>IF(OR(F137="",G137=""),"",F137/G137)</x:f>
      </x:c>
      <x:c r="T137" s="36" t="str">
        <x:f>IF(OR(H137="",I137="",J137=""),"",0.45*H137^2/(4*PI())+0.10*I137^2/(4*PI())+0.45*J137^2/(4*PI()))</x:f>
      </x:c>
      <x:c r="U137" s="36" t="str">
        <x:f>IF(G137="","",1.1*G137*100)</x:f>
      </x:c>
      <x:c r="V137" s="36" t="str">
        <x:f>IF(OR(E137="",T137="",U137=""),"",E137*T137/U137)</x:f>
      </x:c>
      <x:c r="W137" s="37" t="str">
        <x:f>IF(OR(F137="",T137="",U137=""),"",F137*T137/U137)</x:f>
      </x:c>
    </x:row>
    <x:row r="138">
      <x:c r="A138" s="32"/>
      <x:c r="B138" s="33"/>
      <x:c r="C138" s="34"/>
      <x:c r="D138" s="34"/>
      <x:c r="E138" s="35"/>
      <x:c r="F138" s="35"/>
      <x:c r="G138" s="35"/>
      <x:c r="H138" s="35"/>
      <x:c r="I138" s="35"/>
      <x:c r="J138" s="35"/>
      <x:c r="K138" s="34"/>
      <x:c r="L138" s="34"/>
      <x:c r="M138" s="34"/>
      <x:c r="N138" s="34"/>
      <x:c r="O138" s="34"/>
      <x:c r="P138" s="34"/>
      <x:c r="Q138" s="34"/>
      <x:c r="R138" s="36" t="str">
        <x:f>IF(OR(E138="",G138=""),"",E138/G138)</x:f>
      </x:c>
      <x:c r="S138" s="36" t="str">
        <x:f>IF(OR(F138="",G138=""),"",F138/G138)</x:f>
      </x:c>
      <x:c r="T138" s="36" t="str">
        <x:f>IF(OR(H138="",I138="",J138=""),"",0.45*H138^2/(4*PI())+0.10*I138^2/(4*PI())+0.45*J138^2/(4*PI()))</x:f>
      </x:c>
      <x:c r="U138" s="36" t="str">
        <x:f>IF(G138="","",1.1*G138*100)</x:f>
      </x:c>
      <x:c r="V138" s="36" t="str">
        <x:f>IF(OR(E138="",T138="",U138=""),"",E138*T138/U138)</x:f>
      </x:c>
      <x:c r="W138" s="37" t="str">
        <x:f>IF(OR(F138="",T138="",U138=""),"",F138*T138/U138)</x:f>
      </x:c>
    </x:row>
    <x:row r="139">
      <x:c r="A139" s="32"/>
      <x:c r="B139" s="33"/>
      <x:c r="C139" s="34"/>
      <x:c r="D139" s="34"/>
      <x:c r="E139" s="35"/>
      <x:c r="F139" s="35"/>
      <x:c r="G139" s="35"/>
      <x:c r="H139" s="35"/>
      <x:c r="I139" s="35"/>
      <x:c r="J139" s="35"/>
      <x:c r="K139" s="34"/>
      <x:c r="L139" s="34"/>
      <x:c r="M139" s="34"/>
      <x:c r="N139" s="34"/>
      <x:c r="O139" s="34"/>
      <x:c r="P139" s="34"/>
      <x:c r="Q139" s="34"/>
      <x:c r="R139" s="36" t="str">
        <x:f>IF(OR(E139="",G139=""),"",E139/G139)</x:f>
      </x:c>
      <x:c r="S139" s="36" t="str">
        <x:f>IF(OR(F139="",G139=""),"",F139/G139)</x:f>
      </x:c>
      <x:c r="T139" s="36" t="str">
        <x:f>IF(OR(H139="",I139="",J139=""),"",0.45*H139^2/(4*PI())+0.10*I139^2/(4*PI())+0.45*J139^2/(4*PI()))</x:f>
      </x:c>
      <x:c r="U139" s="36" t="str">
        <x:f>IF(G139="","",1.1*G139*100)</x:f>
      </x:c>
      <x:c r="V139" s="36" t="str">
        <x:f>IF(OR(E139="",T139="",U139=""),"",E139*T139/U139)</x:f>
      </x:c>
      <x:c r="W139" s="37" t="str">
        <x:f>IF(OR(F139="",T139="",U139=""),"",F139*T139/U139)</x:f>
      </x:c>
    </x:row>
    <x:row r="140">
      <x:c r="A140" s="32"/>
      <x:c r="B140" s="33"/>
      <x:c r="C140" s="34"/>
      <x:c r="D140" s="34"/>
      <x:c r="E140" s="35"/>
      <x:c r="F140" s="35"/>
      <x:c r="G140" s="35"/>
      <x:c r="H140" s="35"/>
      <x:c r="I140" s="35"/>
      <x:c r="J140" s="35"/>
      <x:c r="K140" s="34"/>
      <x:c r="L140" s="34"/>
      <x:c r="M140" s="34"/>
      <x:c r="N140" s="34"/>
      <x:c r="O140" s="34"/>
      <x:c r="P140" s="34"/>
      <x:c r="Q140" s="34"/>
      <x:c r="R140" s="36" t="str">
        <x:f>IF(OR(E140="",G140=""),"",E140/G140)</x:f>
      </x:c>
      <x:c r="S140" s="36" t="str">
        <x:f>IF(OR(F140="",G140=""),"",F140/G140)</x:f>
      </x:c>
      <x:c r="T140" s="36" t="str">
        <x:f>IF(OR(H140="",I140="",J140=""),"",0.45*H140^2/(4*PI())+0.10*I140^2/(4*PI())+0.45*J140^2/(4*PI()))</x:f>
      </x:c>
      <x:c r="U140" s="36" t="str">
        <x:f>IF(G140="","",1.1*G140*100)</x:f>
      </x:c>
      <x:c r="V140" s="36" t="str">
        <x:f>IF(OR(E140="",T140="",U140=""),"",E140*T140/U140)</x:f>
      </x:c>
      <x:c r="W140" s="37" t="str">
        <x:f>IF(OR(F140="",T140="",U140=""),"",F140*T140/U140)</x:f>
      </x:c>
    </x:row>
    <x:row r="141">
      <x:c r="A141" s="32"/>
      <x:c r="B141" s="33"/>
      <x:c r="C141" s="34"/>
      <x:c r="D141" s="34"/>
      <x:c r="E141" s="35"/>
      <x:c r="F141" s="35"/>
      <x:c r="G141" s="35"/>
      <x:c r="H141" s="35"/>
      <x:c r="I141" s="35"/>
      <x:c r="J141" s="35"/>
      <x:c r="K141" s="34"/>
      <x:c r="L141" s="34"/>
      <x:c r="M141" s="34"/>
      <x:c r="N141" s="34"/>
      <x:c r="O141" s="34"/>
      <x:c r="P141" s="34"/>
      <x:c r="Q141" s="34"/>
      <x:c r="R141" s="36" t="str">
        <x:f>IF(OR(E141="",G141=""),"",E141/G141)</x:f>
      </x:c>
      <x:c r="S141" s="36" t="str">
        <x:f>IF(OR(F141="",G141=""),"",F141/G141)</x:f>
      </x:c>
      <x:c r="T141" s="36" t="str">
        <x:f>IF(OR(H141="",I141="",J141=""),"",0.45*H141^2/(4*PI())+0.10*I141^2/(4*PI())+0.45*J141^2/(4*PI()))</x:f>
      </x:c>
      <x:c r="U141" s="36" t="str">
        <x:f>IF(G141="","",1.1*G141*100)</x:f>
      </x:c>
      <x:c r="V141" s="36" t="str">
        <x:f>IF(OR(E141="",T141="",U141=""),"",E141*T141/U141)</x:f>
      </x:c>
      <x:c r="W141" s="37" t="str">
        <x:f>IF(OR(F141="",T141="",U141=""),"",F141*T141/U141)</x:f>
      </x:c>
    </x:row>
    <x:row r="142">
      <x:c r="A142" s="32"/>
      <x:c r="B142" s="33"/>
      <x:c r="C142" s="34"/>
      <x:c r="D142" s="34"/>
      <x:c r="E142" s="35"/>
      <x:c r="F142" s="35"/>
      <x:c r="G142" s="35"/>
      <x:c r="H142" s="35"/>
      <x:c r="I142" s="35"/>
      <x:c r="J142" s="35"/>
      <x:c r="K142" s="34"/>
      <x:c r="L142" s="34"/>
      <x:c r="M142" s="34"/>
      <x:c r="N142" s="34"/>
      <x:c r="O142" s="34"/>
      <x:c r="P142" s="34"/>
      <x:c r="Q142" s="34"/>
      <x:c r="R142" s="36" t="str">
        <x:f>IF(OR(E142="",G142=""),"",E142/G142)</x:f>
      </x:c>
      <x:c r="S142" s="36" t="str">
        <x:f>IF(OR(F142="",G142=""),"",F142/G142)</x:f>
      </x:c>
      <x:c r="T142" s="36" t="str">
        <x:f>IF(OR(H142="",I142="",J142=""),"",0.45*H142^2/(4*PI())+0.10*I142^2/(4*PI())+0.45*J142^2/(4*PI()))</x:f>
      </x:c>
      <x:c r="U142" s="36" t="str">
        <x:f>IF(G142="","",1.1*G142*100)</x:f>
      </x:c>
      <x:c r="V142" s="36" t="str">
        <x:f>IF(OR(E142="",T142="",U142=""),"",E142*T142/U142)</x:f>
      </x:c>
      <x:c r="W142" s="37" t="str">
        <x:f>IF(OR(F142="",T142="",U142=""),"",F142*T142/U142)</x:f>
      </x:c>
    </x:row>
    <x:row r="143">
      <x:c r="A143" s="32"/>
      <x:c r="B143" s="33"/>
      <x:c r="C143" s="34"/>
      <x:c r="D143" s="34"/>
      <x:c r="E143" s="35"/>
      <x:c r="F143" s="35"/>
      <x:c r="G143" s="35"/>
      <x:c r="H143" s="35"/>
      <x:c r="I143" s="35"/>
      <x:c r="J143" s="35"/>
      <x:c r="K143" s="34"/>
      <x:c r="L143" s="34"/>
      <x:c r="M143" s="34"/>
      <x:c r="N143" s="34"/>
      <x:c r="O143" s="34"/>
      <x:c r="P143" s="34"/>
      <x:c r="Q143" s="34"/>
      <x:c r="R143" s="36" t="str">
        <x:f>IF(OR(E143="",G143=""),"",E143/G143)</x:f>
      </x:c>
      <x:c r="S143" s="36" t="str">
        <x:f>IF(OR(F143="",G143=""),"",F143/G143)</x:f>
      </x:c>
      <x:c r="T143" s="36" t="str">
        <x:f>IF(OR(H143="",I143="",J143=""),"",0.45*H143^2/(4*PI())+0.10*I143^2/(4*PI())+0.45*J143^2/(4*PI()))</x:f>
      </x:c>
      <x:c r="U143" s="36" t="str">
        <x:f>IF(G143="","",1.1*G143*100)</x:f>
      </x:c>
      <x:c r="V143" s="36" t="str">
        <x:f>IF(OR(E143="",T143="",U143=""),"",E143*T143/U143)</x:f>
      </x:c>
      <x:c r="W143" s="37" t="str">
        <x:f>IF(OR(F143="",T143="",U143=""),"",F143*T143/U143)</x:f>
      </x:c>
    </x:row>
    <x:row r="144">
      <x:c r="A144" s="32"/>
      <x:c r="B144" s="33"/>
      <x:c r="C144" s="34"/>
      <x:c r="D144" s="34"/>
      <x:c r="E144" s="35"/>
      <x:c r="F144" s="35"/>
      <x:c r="G144" s="35"/>
      <x:c r="H144" s="35"/>
      <x:c r="I144" s="35"/>
      <x:c r="J144" s="35"/>
      <x:c r="K144" s="34"/>
      <x:c r="L144" s="34"/>
      <x:c r="M144" s="34"/>
      <x:c r="N144" s="34"/>
      <x:c r="O144" s="34"/>
      <x:c r="P144" s="34"/>
      <x:c r="Q144" s="34"/>
      <x:c r="R144" s="36" t="str">
        <x:f>IF(OR(E144="",G144=""),"",E144/G144)</x:f>
      </x:c>
      <x:c r="S144" s="36" t="str">
        <x:f>IF(OR(F144="",G144=""),"",F144/G144)</x:f>
      </x:c>
      <x:c r="T144" s="36" t="str">
        <x:f>IF(OR(H144="",I144="",J144=""),"",0.45*H144^2/(4*PI())+0.10*I144^2/(4*PI())+0.45*J144^2/(4*PI()))</x:f>
      </x:c>
      <x:c r="U144" s="36" t="str">
        <x:f>IF(G144="","",1.1*G144*100)</x:f>
      </x:c>
      <x:c r="V144" s="36" t="str">
        <x:f>IF(OR(E144="",T144="",U144=""),"",E144*T144/U144)</x:f>
      </x:c>
      <x:c r="W144" s="37" t="str">
        <x:f>IF(OR(F144="",T144="",U144=""),"",F144*T144/U144)</x:f>
      </x:c>
    </x:row>
    <x:row r="145">
      <x:c r="A145" s="32"/>
      <x:c r="B145" s="33"/>
      <x:c r="C145" s="34"/>
      <x:c r="D145" s="34"/>
      <x:c r="E145" s="35"/>
      <x:c r="F145" s="35"/>
      <x:c r="G145" s="35"/>
      <x:c r="H145" s="35"/>
      <x:c r="I145" s="35"/>
      <x:c r="J145" s="35"/>
      <x:c r="K145" s="34"/>
      <x:c r="L145" s="34"/>
      <x:c r="M145" s="34"/>
      <x:c r="N145" s="34"/>
      <x:c r="O145" s="34"/>
      <x:c r="P145" s="34"/>
      <x:c r="Q145" s="34"/>
      <x:c r="R145" s="36" t="str">
        <x:f>IF(OR(E145="",G145=""),"",E145/G145)</x:f>
      </x:c>
      <x:c r="S145" s="36" t="str">
        <x:f>IF(OR(F145="",G145=""),"",F145/G145)</x:f>
      </x:c>
      <x:c r="T145" s="36" t="str">
        <x:f>IF(OR(H145="",I145="",J145=""),"",0.45*H145^2/(4*PI())+0.10*I145^2/(4*PI())+0.45*J145^2/(4*PI()))</x:f>
      </x:c>
      <x:c r="U145" s="36" t="str">
        <x:f>IF(G145="","",1.1*G145*100)</x:f>
      </x:c>
      <x:c r="V145" s="36" t="str">
        <x:f>IF(OR(E145="",T145="",U145=""),"",E145*T145/U145)</x:f>
      </x:c>
      <x:c r="W145" s="37" t="str">
        <x:f>IF(OR(F145="",T145="",U145=""),"",F145*T145/U145)</x:f>
      </x:c>
    </x:row>
    <x:row r="146">
      <x:c r="A146" s="32"/>
      <x:c r="B146" s="33"/>
      <x:c r="C146" s="34"/>
      <x:c r="D146" s="34"/>
      <x:c r="E146" s="35"/>
      <x:c r="F146" s="35"/>
      <x:c r="G146" s="35"/>
      <x:c r="H146" s="35"/>
      <x:c r="I146" s="35"/>
      <x:c r="J146" s="35"/>
      <x:c r="K146" s="34"/>
      <x:c r="L146" s="34"/>
      <x:c r="M146" s="34"/>
      <x:c r="N146" s="34"/>
      <x:c r="O146" s="34"/>
      <x:c r="P146" s="34"/>
      <x:c r="Q146" s="34"/>
      <x:c r="R146" s="36" t="str">
        <x:f>IF(OR(E146="",G146=""),"",E146/G146)</x:f>
      </x:c>
      <x:c r="S146" s="36" t="str">
        <x:f>IF(OR(F146="",G146=""),"",F146/G146)</x:f>
      </x:c>
      <x:c r="T146" s="36" t="str">
        <x:f>IF(OR(H146="",I146="",J146=""),"",0.45*H146^2/(4*PI())+0.10*I146^2/(4*PI())+0.45*J146^2/(4*PI()))</x:f>
      </x:c>
      <x:c r="U146" s="36" t="str">
        <x:f>IF(G146="","",1.1*G146*100)</x:f>
      </x:c>
      <x:c r="V146" s="36" t="str">
        <x:f>IF(OR(E146="",T146="",U146=""),"",E146*T146/U146)</x:f>
      </x:c>
      <x:c r="W146" s="37" t="str">
        <x:f>IF(OR(F146="",T146="",U146=""),"",F146*T146/U146)</x:f>
      </x:c>
    </x:row>
    <x:row r="147">
      <x:c r="A147" s="32"/>
      <x:c r="B147" s="33"/>
      <x:c r="C147" s="34"/>
      <x:c r="D147" s="34"/>
      <x:c r="E147" s="35"/>
      <x:c r="F147" s="35"/>
      <x:c r="G147" s="35"/>
      <x:c r="H147" s="35"/>
      <x:c r="I147" s="35"/>
      <x:c r="J147" s="35"/>
      <x:c r="K147" s="34"/>
      <x:c r="L147" s="34"/>
      <x:c r="M147" s="34"/>
      <x:c r="N147" s="34"/>
      <x:c r="O147" s="34"/>
      <x:c r="P147" s="34"/>
      <x:c r="Q147" s="34"/>
      <x:c r="R147" s="36" t="str">
        <x:f>IF(OR(E147="",G147=""),"",E147/G147)</x:f>
      </x:c>
      <x:c r="S147" s="36" t="str">
        <x:f>IF(OR(F147="",G147=""),"",F147/G147)</x:f>
      </x:c>
      <x:c r="T147" s="36" t="str">
        <x:f>IF(OR(H147="",I147="",J147=""),"",0.45*H147^2/(4*PI())+0.10*I147^2/(4*PI())+0.45*J147^2/(4*PI()))</x:f>
      </x:c>
      <x:c r="U147" s="36" t="str">
        <x:f>IF(G147="","",1.1*G147*100)</x:f>
      </x:c>
      <x:c r="V147" s="36" t="str">
        <x:f>IF(OR(E147="",T147="",U147=""),"",E147*T147/U147)</x:f>
      </x:c>
      <x:c r="W147" s="37" t="str">
        <x:f>IF(OR(F147="",T147="",U147=""),"",F147*T147/U147)</x:f>
      </x:c>
    </x:row>
    <x:row r="148">
      <x:c r="A148" s="32"/>
      <x:c r="B148" s="33"/>
      <x:c r="C148" s="34"/>
      <x:c r="D148" s="34"/>
      <x:c r="E148" s="35"/>
      <x:c r="F148" s="35"/>
      <x:c r="G148" s="35"/>
      <x:c r="H148" s="35"/>
      <x:c r="I148" s="35"/>
      <x:c r="J148" s="35"/>
      <x:c r="K148" s="34"/>
      <x:c r="L148" s="34"/>
      <x:c r="M148" s="34"/>
      <x:c r="N148" s="34"/>
      <x:c r="O148" s="34"/>
      <x:c r="P148" s="34"/>
      <x:c r="Q148" s="34"/>
      <x:c r="R148" s="36" t="str">
        <x:f>IF(OR(E148="",G148=""),"",E148/G148)</x:f>
      </x:c>
      <x:c r="S148" s="36" t="str">
        <x:f>IF(OR(F148="",G148=""),"",F148/G148)</x:f>
      </x:c>
      <x:c r="T148" s="36" t="str">
        <x:f>IF(OR(H148="",I148="",J148=""),"",0.45*H148^2/(4*PI())+0.10*I148^2/(4*PI())+0.45*J148^2/(4*PI()))</x:f>
      </x:c>
      <x:c r="U148" s="36" t="str">
        <x:f>IF(G148="","",1.1*G148*100)</x:f>
      </x:c>
      <x:c r="V148" s="36" t="str">
        <x:f>IF(OR(E148="",T148="",U148=""),"",E148*T148/U148)</x:f>
      </x:c>
      <x:c r="W148" s="37" t="str">
        <x:f>IF(OR(F148="",T148="",U148=""),"",F148*T148/U148)</x:f>
      </x:c>
    </x:row>
    <x:row r="149">
      <x:c r="A149" s="32"/>
      <x:c r="B149" s="33"/>
      <x:c r="C149" s="34"/>
      <x:c r="D149" s="34"/>
      <x:c r="E149" s="35"/>
      <x:c r="F149" s="35"/>
      <x:c r="G149" s="35"/>
      <x:c r="H149" s="35"/>
      <x:c r="I149" s="35"/>
      <x:c r="J149" s="35"/>
      <x:c r="K149" s="34"/>
      <x:c r="L149" s="34"/>
      <x:c r="M149" s="34"/>
      <x:c r="N149" s="34"/>
      <x:c r="O149" s="34"/>
      <x:c r="P149" s="34"/>
      <x:c r="Q149" s="34"/>
      <x:c r="R149" s="36" t="str">
        <x:f>IF(OR(E149="",G149=""),"",E149/G149)</x:f>
      </x:c>
      <x:c r="S149" s="36" t="str">
        <x:f>IF(OR(F149="",G149=""),"",F149/G149)</x:f>
      </x:c>
      <x:c r="T149" s="36" t="str">
        <x:f>IF(OR(H149="",I149="",J149=""),"",0.45*H149^2/(4*PI())+0.10*I149^2/(4*PI())+0.45*J149^2/(4*PI()))</x:f>
      </x:c>
      <x:c r="U149" s="36" t="str">
        <x:f>IF(G149="","",1.1*G149*100)</x:f>
      </x:c>
      <x:c r="V149" s="36" t="str">
        <x:f>IF(OR(E149="",T149="",U149=""),"",E149*T149/U149)</x:f>
      </x:c>
      <x:c r="W149" s="37" t="str">
        <x:f>IF(OR(F149="",T149="",U149=""),"",F149*T149/U149)</x:f>
      </x:c>
    </x:row>
    <x:row r="150">
      <x:c r="A150" s="32"/>
      <x:c r="B150" s="33"/>
      <x:c r="C150" s="34"/>
      <x:c r="D150" s="34"/>
      <x:c r="E150" s="35"/>
      <x:c r="F150" s="35"/>
      <x:c r="G150" s="35"/>
      <x:c r="H150" s="35"/>
      <x:c r="I150" s="35"/>
      <x:c r="J150" s="35"/>
      <x:c r="K150" s="34"/>
      <x:c r="L150" s="34"/>
      <x:c r="M150" s="34"/>
      <x:c r="N150" s="34"/>
      <x:c r="O150" s="34"/>
      <x:c r="P150" s="34"/>
      <x:c r="Q150" s="34"/>
      <x:c r="R150" s="36" t="str">
        <x:f>IF(OR(E150="",G150=""),"",E150/G150)</x:f>
      </x:c>
      <x:c r="S150" s="36" t="str">
        <x:f>IF(OR(F150="",G150=""),"",F150/G150)</x:f>
      </x:c>
      <x:c r="T150" s="36" t="str">
        <x:f>IF(OR(H150="",I150="",J150=""),"",0.45*H150^2/(4*PI())+0.10*I150^2/(4*PI())+0.45*J150^2/(4*PI()))</x:f>
      </x:c>
      <x:c r="U150" s="36" t="str">
        <x:f>IF(G150="","",1.1*G150*100)</x:f>
      </x:c>
      <x:c r="V150" s="36" t="str">
        <x:f>IF(OR(E150="",T150="",U150=""),"",E150*T150/U150)</x:f>
      </x:c>
      <x:c r="W150" s="37" t="str">
        <x:f>IF(OR(F150="",T150="",U150=""),"",F150*T150/U150)</x:f>
      </x:c>
    </x:row>
    <x:row r="151">
      <x:c r="A151" s="32"/>
      <x:c r="B151" s="33"/>
      <x:c r="C151" s="34"/>
      <x:c r="D151" s="34"/>
      <x:c r="E151" s="35"/>
      <x:c r="F151" s="35"/>
      <x:c r="G151" s="35"/>
      <x:c r="H151" s="35"/>
      <x:c r="I151" s="35"/>
      <x:c r="J151" s="35"/>
      <x:c r="K151" s="34"/>
      <x:c r="L151" s="34"/>
      <x:c r="M151" s="34"/>
      <x:c r="N151" s="34"/>
      <x:c r="O151" s="34"/>
      <x:c r="P151" s="34"/>
      <x:c r="Q151" s="34"/>
      <x:c r="R151" s="36" t="str">
        <x:f>IF(OR(E151="",G151=""),"",E151/G151)</x:f>
      </x:c>
      <x:c r="S151" s="36" t="str">
        <x:f>IF(OR(F151="",G151=""),"",F151/G151)</x:f>
      </x:c>
      <x:c r="T151" s="36" t="str">
        <x:f>IF(OR(H151="",I151="",J151=""),"",0.45*H151^2/(4*PI())+0.10*I151^2/(4*PI())+0.45*J151^2/(4*PI()))</x:f>
      </x:c>
      <x:c r="U151" s="36" t="str">
        <x:f>IF(G151="","",1.1*G151*100)</x:f>
      </x:c>
      <x:c r="V151" s="36" t="str">
        <x:f>IF(OR(E151="",T151="",U151=""),"",E151*T151/U151)</x:f>
      </x:c>
      <x:c r="W151" s="37" t="str">
        <x:f>IF(OR(F151="",T151="",U151=""),"",F151*T151/U151)</x:f>
      </x:c>
    </x:row>
    <x:row r="152">
      <x:c r="A152" s="32"/>
      <x:c r="B152" s="33"/>
      <x:c r="C152" s="34"/>
      <x:c r="D152" s="34"/>
      <x:c r="E152" s="35"/>
      <x:c r="F152" s="35"/>
      <x:c r="G152" s="35"/>
      <x:c r="H152" s="35"/>
      <x:c r="I152" s="35"/>
      <x:c r="J152" s="35"/>
      <x:c r="K152" s="34"/>
      <x:c r="L152" s="34"/>
      <x:c r="M152" s="34"/>
      <x:c r="N152" s="34"/>
      <x:c r="O152" s="34"/>
      <x:c r="P152" s="34"/>
      <x:c r="Q152" s="34"/>
      <x:c r="R152" s="36" t="str">
        <x:f>IF(OR(E152="",G152=""),"",E152/G152)</x:f>
      </x:c>
      <x:c r="S152" s="36" t="str">
        <x:f>IF(OR(F152="",G152=""),"",F152/G152)</x:f>
      </x:c>
      <x:c r="T152" s="36" t="str">
        <x:f>IF(OR(H152="",I152="",J152=""),"",0.45*H152^2/(4*PI())+0.10*I152^2/(4*PI())+0.45*J152^2/(4*PI()))</x:f>
      </x:c>
      <x:c r="U152" s="36" t="str">
        <x:f>IF(G152="","",1.1*G152*100)</x:f>
      </x:c>
      <x:c r="V152" s="36" t="str">
        <x:f>IF(OR(E152="",T152="",U152=""),"",E152*T152/U152)</x:f>
      </x:c>
      <x:c r="W152" s="37" t="str">
        <x:f>IF(OR(F152="",T152="",U152=""),"",F152*T152/U152)</x:f>
      </x:c>
    </x:row>
    <x:row r="153">
      <x:c r="A153" s="32"/>
      <x:c r="B153" s="33"/>
      <x:c r="C153" s="34"/>
      <x:c r="D153" s="34"/>
      <x:c r="E153" s="35"/>
      <x:c r="F153" s="35"/>
      <x:c r="G153" s="35"/>
      <x:c r="H153" s="35"/>
      <x:c r="I153" s="35"/>
      <x:c r="J153" s="35"/>
      <x:c r="K153" s="34"/>
      <x:c r="L153" s="34"/>
      <x:c r="M153" s="34"/>
      <x:c r="N153" s="34"/>
      <x:c r="O153" s="34"/>
      <x:c r="P153" s="34"/>
      <x:c r="Q153" s="34"/>
      <x:c r="R153" s="36" t="str">
        <x:f>IF(OR(E153="",G153=""),"",E153/G153)</x:f>
      </x:c>
      <x:c r="S153" s="36" t="str">
        <x:f>IF(OR(F153="",G153=""),"",F153/G153)</x:f>
      </x:c>
      <x:c r="T153" s="36" t="str">
        <x:f>IF(OR(H153="",I153="",J153=""),"",0.45*H153^2/(4*PI())+0.10*I153^2/(4*PI())+0.45*J153^2/(4*PI()))</x:f>
      </x:c>
      <x:c r="U153" s="36" t="str">
        <x:f>IF(G153="","",1.1*G153*100)</x:f>
      </x:c>
      <x:c r="V153" s="36" t="str">
        <x:f>IF(OR(E153="",T153="",U153=""),"",E153*T153/U153)</x:f>
      </x:c>
      <x:c r="W153" s="37" t="str">
        <x:f>IF(OR(F153="",T153="",U153=""),"",F153*T153/U153)</x:f>
      </x:c>
    </x:row>
    <x:row r="154">
      <x:c r="A154" s="32"/>
      <x:c r="B154" s="33"/>
      <x:c r="C154" s="34"/>
      <x:c r="D154" s="34"/>
      <x:c r="E154" s="35"/>
      <x:c r="F154" s="35"/>
      <x:c r="G154" s="35"/>
      <x:c r="H154" s="35"/>
      <x:c r="I154" s="35"/>
      <x:c r="J154" s="35"/>
      <x:c r="K154" s="34"/>
      <x:c r="L154" s="34"/>
      <x:c r="M154" s="34"/>
      <x:c r="N154" s="34"/>
      <x:c r="O154" s="34"/>
      <x:c r="P154" s="34"/>
      <x:c r="Q154" s="34"/>
      <x:c r="R154" s="36" t="str">
        <x:f>IF(OR(E154="",G154=""),"",E154/G154)</x:f>
      </x:c>
      <x:c r="S154" s="36" t="str">
        <x:f>IF(OR(F154="",G154=""),"",F154/G154)</x:f>
      </x:c>
      <x:c r="T154" s="36" t="str">
        <x:f>IF(OR(H154="",I154="",J154=""),"",0.45*H154^2/(4*PI())+0.10*I154^2/(4*PI())+0.45*J154^2/(4*PI()))</x:f>
      </x:c>
      <x:c r="U154" s="36" t="str">
        <x:f>IF(G154="","",1.1*G154*100)</x:f>
      </x:c>
      <x:c r="V154" s="36" t="str">
        <x:f>IF(OR(E154="",T154="",U154=""),"",E154*T154/U154)</x:f>
      </x:c>
      <x:c r="W154" s="37" t="str">
        <x:f>IF(OR(F154="",T154="",U154=""),"",F154*T154/U154)</x:f>
      </x:c>
    </x:row>
    <x:row r="155">
      <x:c r="A155" s="32"/>
      <x:c r="B155" s="33"/>
      <x:c r="C155" s="34"/>
      <x:c r="D155" s="34"/>
      <x:c r="E155" s="35"/>
      <x:c r="F155" s="35"/>
      <x:c r="G155" s="35"/>
      <x:c r="H155" s="35"/>
      <x:c r="I155" s="35"/>
      <x:c r="J155" s="35"/>
      <x:c r="K155" s="34"/>
      <x:c r="L155" s="34"/>
      <x:c r="M155" s="34"/>
      <x:c r="N155" s="34"/>
      <x:c r="O155" s="34"/>
      <x:c r="P155" s="34"/>
      <x:c r="Q155" s="34"/>
      <x:c r="R155" s="36" t="str">
        <x:f>IF(OR(E155="",G155=""),"",E155/G155)</x:f>
      </x:c>
      <x:c r="S155" s="36" t="str">
        <x:f>IF(OR(F155="",G155=""),"",F155/G155)</x:f>
      </x:c>
      <x:c r="T155" s="36" t="str">
        <x:f>IF(OR(H155="",I155="",J155=""),"",0.45*H155^2/(4*PI())+0.10*I155^2/(4*PI())+0.45*J155^2/(4*PI()))</x:f>
      </x:c>
      <x:c r="U155" s="36" t="str">
        <x:f>IF(G155="","",1.1*G155*100)</x:f>
      </x:c>
      <x:c r="V155" s="36" t="str">
        <x:f>IF(OR(E155="",T155="",U155=""),"",E155*T155/U155)</x:f>
      </x:c>
      <x:c r="W155" s="37" t="str">
        <x:f>IF(OR(F155="",T155="",U155=""),"",F155*T155/U155)</x:f>
      </x:c>
    </x:row>
    <x:row r="156">
      <x:c r="A156" s="32"/>
      <x:c r="B156" s="33"/>
      <x:c r="C156" s="34"/>
      <x:c r="D156" s="34"/>
      <x:c r="E156" s="35"/>
      <x:c r="F156" s="35"/>
      <x:c r="G156" s="35"/>
      <x:c r="H156" s="35"/>
      <x:c r="I156" s="35"/>
      <x:c r="J156" s="35"/>
      <x:c r="K156" s="34"/>
      <x:c r="L156" s="34"/>
      <x:c r="M156" s="34"/>
      <x:c r="N156" s="34"/>
      <x:c r="O156" s="34"/>
      <x:c r="P156" s="34"/>
      <x:c r="Q156" s="34"/>
      <x:c r="R156" s="36" t="str">
        <x:f>IF(OR(E156="",G156=""),"",E156/G156)</x:f>
      </x:c>
      <x:c r="S156" s="36" t="str">
        <x:f>IF(OR(F156="",G156=""),"",F156/G156)</x:f>
      </x:c>
      <x:c r="T156" s="36" t="str">
        <x:f>IF(OR(H156="",I156="",J156=""),"",0.45*H156^2/(4*PI())+0.10*I156^2/(4*PI())+0.45*J156^2/(4*PI()))</x:f>
      </x:c>
      <x:c r="U156" s="36" t="str">
        <x:f>IF(G156="","",1.1*G156*100)</x:f>
      </x:c>
      <x:c r="V156" s="36" t="str">
        <x:f>IF(OR(E156="",T156="",U156=""),"",E156*T156/U156)</x:f>
      </x:c>
      <x:c r="W156" s="37" t="str">
        <x:f>IF(OR(F156="",T156="",U156=""),"",F156*T156/U156)</x:f>
      </x:c>
    </x:row>
    <x:row r="157">
      <x:c r="A157" s="32"/>
      <x:c r="B157" s="33"/>
      <x:c r="C157" s="34"/>
      <x:c r="D157" s="34"/>
      <x:c r="E157" s="35"/>
      <x:c r="F157" s="35"/>
      <x:c r="G157" s="35"/>
      <x:c r="H157" s="35"/>
      <x:c r="I157" s="35"/>
      <x:c r="J157" s="35"/>
      <x:c r="K157" s="34"/>
      <x:c r="L157" s="34"/>
      <x:c r="M157" s="34"/>
      <x:c r="N157" s="34"/>
      <x:c r="O157" s="34"/>
      <x:c r="P157" s="34"/>
      <x:c r="Q157" s="34"/>
      <x:c r="R157" s="36" t="str">
        <x:f>IF(OR(E157="",G157=""),"",E157/G157)</x:f>
      </x:c>
      <x:c r="S157" s="36" t="str">
        <x:f>IF(OR(F157="",G157=""),"",F157/G157)</x:f>
      </x:c>
      <x:c r="T157" s="36" t="str">
        <x:f>IF(OR(H157="",I157="",J157=""),"",0.45*H157^2/(4*PI())+0.10*I157^2/(4*PI())+0.45*J157^2/(4*PI()))</x:f>
      </x:c>
      <x:c r="U157" s="36" t="str">
        <x:f>IF(G157="","",1.1*G157*100)</x:f>
      </x:c>
      <x:c r="V157" s="36" t="str">
        <x:f>IF(OR(E157="",T157="",U157=""),"",E157*T157/U157)</x:f>
      </x:c>
      <x:c r="W157" s="37" t="str">
        <x:f>IF(OR(F157="",T157="",U157=""),"",F157*T157/U157)</x:f>
      </x:c>
    </x:row>
    <x:row r="158">
      <x:c r="A158" s="32"/>
      <x:c r="B158" s="33"/>
      <x:c r="C158" s="34"/>
      <x:c r="D158" s="34"/>
      <x:c r="E158" s="35"/>
      <x:c r="F158" s="35"/>
      <x:c r="G158" s="35"/>
      <x:c r="H158" s="35"/>
      <x:c r="I158" s="35"/>
      <x:c r="J158" s="35"/>
      <x:c r="K158" s="34"/>
      <x:c r="L158" s="34"/>
      <x:c r="M158" s="34"/>
      <x:c r="N158" s="34"/>
      <x:c r="O158" s="34"/>
      <x:c r="P158" s="34"/>
      <x:c r="Q158" s="34"/>
      <x:c r="R158" s="36" t="str">
        <x:f>IF(OR(E158="",G158=""),"",E158/G158)</x:f>
      </x:c>
      <x:c r="S158" s="36" t="str">
        <x:f>IF(OR(F158="",G158=""),"",F158/G158)</x:f>
      </x:c>
      <x:c r="T158" s="36" t="str">
        <x:f>IF(OR(H158="",I158="",J158=""),"",0.45*H158^2/(4*PI())+0.10*I158^2/(4*PI())+0.45*J158^2/(4*PI()))</x:f>
      </x:c>
      <x:c r="U158" s="36" t="str">
        <x:f>IF(G158="","",1.1*G158*100)</x:f>
      </x:c>
      <x:c r="V158" s="36" t="str">
        <x:f>IF(OR(E158="",T158="",U158=""),"",E158*T158/U158)</x:f>
      </x:c>
      <x:c r="W158" s="37" t="str">
        <x:f>IF(OR(F158="",T158="",U158=""),"",F158*T158/U158)</x:f>
      </x:c>
    </x:row>
    <x:row r="159">
      <x:c r="A159" s="32"/>
      <x:c r="B159" s="33"/>
      <x:c r="C159" s="34"/>
      <x:c r="D159" s="34"/>
      <x:c r="E159" s="35"/>
      <x:c r="F159" s="35"/>
      <x:c r="G159" s="35"/>
      <x:c r="H159" s="35"/>
      <x:c r="I159" s="35"/>
      <x:c r="J159" s="35"/>
      <x:c r="K159" s="34"/>
      <x:c r="L159" s="34"/>
      <x:c r="M159" s="34"/>
      <x:c r="N159" s="34"/>
      <x:c r="O159" s="34"/>
      <x:c r="P159" s="34"/>
      <x:c r="Q159" s="34"/>
      <x:c r="R159" s="36" t="str">
        <x:f>IF(OR(E159="",G159=""),"",E159/G159)</x:f>
      </x:c>
      <x:c r="S159" s="36" t="str">
        <x:f>IF(OR(F159="",G159=""),"",F159/G159)</x:f>
      </x:c>
      <x:c r="T159" s="36" t="str">
        <x:f>IF(OR(H159="",I159="",J159=""),"",0.45*H159^2/(4*PI())+0.10*I159^2/(4*PI())+0.45*J159^2/(4*PI()))</x:f>
      </x:c>
      <x:c r="U159" s="36" t="str">
        <x:f>IF(G159="","",1.1*G159*100)</x:f>
      </x:c>
      <x:c r="V159" s="36" t="str">
        <x:f>IF(OR(E159="",T159="",U159=""),"",E159*T159/U159)</x:f>
      </x:c>
      <x:c r="W159" s="37" t="str">
        <x:f>IF(OR(F159="",T159="",U159=""),"",F159*T159/U159)</x:f>
      </x:c>
    </x:row>
    <x:row r="160">
      <x:c r="A160" s="32"/>
      <x:c r="B160" s="33"/>
      <x:c r="C160" s="34"/>
      <x:c r="D160" s="34"/>
      <x:c r="E160" s="35"/>
      <x:c r="F160" s="35"/>
      <x:c r="G160" s="35"/>
      <x:c r="H160" s="35"/>
      <x:c r="I160" s="35"/>
      <x:c r="J160" s="35"/>
      <x:c r="K160" s="34"/>
      <x:c r="L160" s="34"/>
      <x:c r="M160" s="34"/>
      <x:c r="N160" s="34"/>
      <x:c r="O160" s="34"/>
      <x:c r="P160" s="34"/>
      <x:c r="Q160" s="34"/>
      <x:c r="R160" s="36" t="str">
        <x:f>IF(OR(E160="",G160=""),"",E160/G160)</x:f>
      </x:c>
      <x:c r="S160" s="36" t="str">
        <x:f>IF(OR(F160="",G160=""),"",F160/G160)</x:f>
      </x:c>
      <x:c r="T160" s="36" t="str">
        <x:f>IF(OR(H160="",I160="",J160=""),"",0.45*H160^2/(4*PI())+0.10*I160^2/(4*PI())+0.45*J160^2/(4*PI()))</x:f>
      </x:c>
      <x:c r="U160" s="36" t="str">
        <x:f>IF(G160="","",1.1*G160*100)</x:f>
      </x:c>
      <x:c r="V160" s="36" t="str">
        <x:f>IF(OR(E160="",T160="",U160=""),"",E160*T160/U160)</x:f>
      </x:c>
      <x:c r="W160" s="37" t="str">
        <x:f>IF(OR(F160="",T160="",U160=""),"",F160*T160/U160)</x:f>
      </x:c>
    </x:row>
    <x:row r="161">
      <x:c r="A161" s="32"/>
      <x:c r="B161" s="33"/>
      <x:c r="C161" s="34"/>
      <x:c r="D161" s="34"/>
      <x:c r="E161" s="35"/>
      <x:c r="F161" s="35"/>
      <x:c r="G161" s="35"/>
      <x:c r="H161" s="35"/>
      <x:c r="I161" s="35"/>
      <x:c r="J161" s="35"/>
      <x:c r="K161" s="34"/>
      <x:c r="L161" s="34"/>
      <x:c r="M161" s="34"/>
      <x:c r="N161" s="34"/>
      <x:c r="O161" s="34"/>
      <x:c r="P161" s="34"/>
      <x:c r="Q161" s="34"/>
      <x:c r="R161" s="36" t="str">
        <x:f>IF(OR(E161="",G161=""),"",E161/G161)</x:f>
      </x:c>
      <x:c r="S161" s="36" t="str">
        <x:f>IF(OR(F161="",G161=""),"",F161/G161)</x:f>
      </x:c>
      <x:c r="T161" s="36" t="str">
        <x:f>IF(OR(H161="",I161="",J161=""),"",0.45*H161^2/(4*PI())+0.10*I161^2/(4*PI())+0.45*J161^2/(4*PI()))</x:f>
      </x:c>
      <x:c r="U161" s="36" t="str">
        <x:f>IF(G161="","",1.1*G161*100)</x:f>
      </x:c>
      <x:c r="V161" s="36" t="str">
        <x:f>IF(OR(E161="",T161="",U161=""),"",E161*T161/U161)</x:f>
      </x:c>
      <x:c r="W161" s="37" t="str">
        <x:f>IF(OR(F161="",T161="",U161=""),"",F161*T161/U161)</x:f>
      </x:c>
    </x:row>
    <x:row r="162">
      <x:c r="A162" s="32"/>
      <x:c r="B162" s="33"/>
      <x:c r="C162" s="34"/>
      <x:c r="D162" s="34"/>
      <x:c r="E162" s="35"/>
      <x:c r="F162" s="35"/>
      <x:c r="G162" s="35"/>
      <x:c r="H162" s="35"/>
      <x:c r="I162" s="35"/>
      <x:c r="J162" s="35"/>
      <x:c r="K162" s="34"/>
      <x:c r="L162" s="34"/>
      <x:c r="M162" s="34"/>
      <x:c r="N162" s="34"/>
      <x:c r="O162" s="34"/>
      <x:c r="P162" s="34"/>
      <x:c r="Q162" s="34"/>
      <x:c r="R162" s="36" t="str">
        <x:f>IF(OR(E162="",G162=""),"",E162/G162)</x:f>
      </x:c>
      <x:c r="S162" s="36" t="str">
        <x:f>IF(OR(F162="",G162=""),"",F162/G162)</x:f>
      </x:c>
      <x:c r="T162" s="36" t="str">
        <x:f>IF(OR(H162="",I162="",J162=""),"",0.45*H162^2/(4*PI())+0.10*I162^2/(4*PI())+0.45*J162^2/(4*PI()))</x:f>
      </x:c>
      <x:c r="U162" s="36" t="str">
        <x:f>IF(G162="","",1.1*G162*100)</x:f>
      </x:c>
      <x:c r="V162" s="36" t="str">
        <x:f>IF(OR(E162="",T162="",U162=""),"",E162*T162/U162)</x:f>
      </x:c>
      <x:c r="W162" s="37" t="str">
        <x:f>IF(OR(F162="",T162="",U162=""),"",F162*T162/U162)</x:f>
      </x:c>
    </x:row>
    <x:row r="163">
      <x:c r="A163" s="32"/>
      <x:c r="B163" s="33"/>
      <x:c r="C163" s="34"/>
      <x:c r="D163" s="34"/>
      <x:c r="E163" s="35"/>
      <x:c r="F163" s="35"/>
      <x:c r="G163" s="35"/>
      <x:c r="H163" s="35"/>
      <x:c r="I163" s="35"/>
      <x:c r="J163" s="35"/>
      <x:c r="K163" s="34"/>
      <x:c r="L163" s="34"/>
      <x:c r="M163" s="34"/>
      <x:c r="N163" s="34"/>
      <x:c r="O163" s="34"/>
      <x:c r="P163" s="34"/>
      <x:c r="Q163" s="34"/>
      <x:c r="R163" s="36" t="str">
        <x:f>IF(OR(E163="",G163=""),"",E163/G163)</x:f>
      </x:c>
      <x:c r="S163" s="36" t="str">
        <x:f>IF(OR(F163="",G163=""),"",F163/G163)</x:f>
      </x:c>
      <x:c r="T163" s="36" t="str">
        <x:f>IF(OR(H163="",I163="",J163=""),"",0.45*H163^2/(4*PI())+0.10*I163^2/(4*PI())+0.45*J163^2/(4*PI()))</x:f>
      </x:c>
      <x:c r="U163" s="36" t="str">
        <x:f>IF(G163="","",1.1*G163*100)</x:f>
      </x:c>
      <x:c r="V163" s="36" t="str">
        <x:f>IF(OR(E163="",T163="",U163=""),"",E163*T163/U163)</x:f>
      </x:c>
      <x:c r="W163" s="37" t="str">
        <x:f>IF(OR(F163="",T163="",U163=""),"",F163*T163/U163)</x:f>
      </x:c>
    </x:row>
    <x:row r="164">
      <x:c r="A164" s="32"/>
      <x:c r="B164" s="33"/>
      <x:c r="C164" s="34"/>
      <x:c r="D164" s="34"/>
      <x:c r="E164" s="35"/>
      <x:c r="F164" s="35"/>
      <x:c r="G164" s="35"/>
      <x:c r="H164" s="35"/>
      <x:c r="I164" s="35"/>
      <x:c r="J164" s="35"/>
      <x:c r="K164" s="34"/>
      <x:c r="L164" s="34"/>
      <x:c r="M164" s="34"/>
      <x:c r="N164" s="34"/>
      <x:c r="O164" s="34"/>
      <x:c r="P164" s="34"/>
      <x:c r="Q164" s="34"/>
      <x:c r="R164" s="36" t="str">
        <x:f>IF(OR(E164="",G164=""),"",E164/G164)</x:f>
      </x:c>
      <x:c r="S164" s="36" t="str">
        <x:f>IF(OR(F164="",G164=""),"",F164/G164)</x:f>
      </x:c>
      <x:c r="T164" s="36" t="str">
        <x:f>IF(OR(H164="",I164="",J164=""),"",0.45*H164^2/(4*PI())+0.10*I164^2/(4*PI())+0.45*J164^2/(4*PI()))</x:f>
      </x:c>
      <x:c r="U164" s="36" t="str">
        <x:f>IF(G164="","",1.1*G164*100)</x:f>
      </x:c>
      <x:c r="V164" s="36" t="str">
        <x:f>IF(OR(E164="",T164="",U164=""),"",E164*T164/U164)</x:f>
      </x:c>
      <x:c r="W164" s="37" t="str">
        <x:f>IF(OR(F164="",T164="",U164=""),"",F164*T164/U164)</x:f>
      </x:c>
    </x:row>
    <x:row r="165">
      <x:c r="A165" s="32"/>
      <x:c r="B165" s="33"/>
      <x:c r="C165" s="34"/>
      <x:c r="D165" s="34"/>
      <x:c r="E165" s="35"/>
      <x:c r="F165" s="35"/>
      <x:c r="G165" s="35"/>
      <x:c r="H165" s="35"/>
      <x:c r="I165" s="35"/>
      <x:c r="J165" s="35"/>
      <x:c r="K165" s="34"/>
      <x:c r="L165" s="34"/>
      <x:c r="M165" s="34"/>
      <x:c r="N165" s="34"/>
      <x:c r="O165" s="34"/>
      <x:c r="P165" s="34"/>
      <x:c r="Q165" s="34"/>
      <x:c r="R165" s="36" t="str">
        <x:f>IF(OR(E165="",G165=""),"",E165/G165)</x:f>
      </x:c>
      <x:c r="S165" s="36" t="str">
        <x:f>IF(OR(F165="",G165=""),"",F165/G165)</x:f>
      </x:c>
      <x:c r="T165" s="36" t="str">
        <x:f>IF(OR(H165="",I165="",J165=""),"",0.45*H165^2/(4*PI())+0.10*I165^2/(4*PI())+0.45*J165^2/(4*PI()))</x:f>
      </x:c>
      <x:c r="U165" s="36" t="str">
        <x:f>IF(G165="","",1.1*G165*100)</x:f>
      </x:c>
      <x:c r="V165" s="36" t="str">
        <x:f>IF(OR(E165="",T165="",U165=""),"",E165*T165/U165)</x:f>
      </x:c>
      <x:c r="W165" s="37" t="str">
        <x:f>IF(OR(F165="",T165="",U165=""),"",F165*T165/U165)</x:f>
      </x:c>
    </x:row>
    <x:row r="166">
      <x:c r="A166" s="32"/>
      <x:c r="B166" s="33"/>
      <x:c r="C166" s="34"/>
      <x:c r="D166" s="34"/>
      <x:c r="E166" s="35"/>
      <x:c r="F166" s="35"/>
      <x:c r="G166" s="35"/>
      <x:c r="H166" s="35"/>
      <x:c r="I166" s="35"/>
      <x:c r="J166" s="35"/>
      <x:c r="K166" s="34"/>
      <x:c r="L166" s="34"/>
      <x:c r="M166" s="34"/>
      <x:c r="N166" s="34"/>
      <x:c r="O166" s="34"/>
      <x:c r="P166" s="34"/>
      <x:c r="Q166" s="34"/>
      <x:c r="R166" s="36" t="str">
        <x:f>IF(OR(E166="",G166=""),"",E166/G166)</x:f>
      </x:c>
      <x:c r="S166" s="36" t="str">
        <x:f>IF(OR(F166="",G166=""),"",F166/G166)</x:f>
      </x:c>
      <x:c r="T166" s="36" t="str">
        <x:f>IF(OR(H166="",I166="",J166=""),"",0.45*H166^2/(4*PI())+0.10*I166^2/(4*PI())+0.45*J166^2/(4*PI()))</x:f>
      </x:c>
      <x:c r="U166" s="36" t="str">
        <x:f>IF(G166="","",1.1*G166*100)</x:f>
      </x:c>
      <x:c r="V166" s="36" t="str">
        <x:f>IF(OR(E166="",T166="",U166=""),"",E166*T166/U166)</x:f>
      </x:c>
      <x:c r="W166" s="37" t="str">
        <x:f>IF(OR(F166="",T166="",U166=""),"",F166*T166/U166)</x:f>
      </x:c>
    </x:row>
    <x:row r="167">
      <x:c r="A167" s="32"/>
      <x:c r="B167" s="33"/>
      <x:c r="C167" s="34"/>
      <x:c r="D167" s="34"/>
      <x:c r="E167" s="35"/>
      <x:c r="F167" s="35"/>
      <x:c r="G167" s="35"/>
      <x:c r="H167" s="35"/>
      <x:c r="I167" s="35"/>
      <x:c r="J167" s="35"/>
      <x:c r="K167" s="34"/>
      <x:c r="L167" s="34"/>
      <x:c r="M167" s="34"/>
      <x:c r="N167" s="34"/>
      <x:c r="O167" s="34"/>
      <x:c r="P167" s="34"/>
      <x:c r="Q167" s="34"/>
      <x:c r="R167" s="36" t="str">
        <x:f>IF(OR(E167="",G167=""),"",E167/G167)</x:f>
      </x:c>
      <x:c r="S167" s="36" t="str">
        <x:f>IF(OR(F167="",G167=""),"",F167/G167)</x:f>
      </x:c>
      <x:c r="T167" s="36" t="str">
        <x:f>IF(OR(H167="",I167="",J167=""),"",0.45*H167^2/(4*PI())+0.10*I167^2/(4*PI())+0.45*J167^2/(4*PI()))</x:f>
      </x:c>
      <x:c r="U167" s="36" t="str">
        <x:f>IF(G167="","",1.1*G167*100)</x:f>
      </x:c>
      <x:c r="V167" s="36" t="str">
        <x:f>IF(OR(E167="",T167="",U167=""),"",E167*T167/U167)</x:f>
      </x:c>
      <x:c r="W167" s="37" t="str">
        <x:f>IF(OR(F167="",T167="",U167=""),"",F167*T167/U167)</x:f>
      </x:c>
    </x:row>
    <x:row r="168">
      <x:c r="A168" s="32"/>
      <x:c r="B168" s="33"/>
      <x:c r="C168" s="34"/>
      <x:c r="D168" s="34"/>
      <x:c r="E168" s="35"/>
      <x:c r="F168" s="35"/>
      <x:c r="G168" s="35"/>
      <x:c r="H168" s="35"/>
      <x:c r="I168" s="35"/>
      <x:c r="J168" s="35"/>
      <x:c r="K168" s="34"/>
      <x:c r="L168" s="34"/>
      <x:c r="M168" s="34"/>
      <x:c r="N168" s="34"/>
      <x:c r="O168" s="34"/>
      <x:c r="P168" s="34"/>
      <x:c r="Q168" s="34"/>
      <x:c r="R168" s="36" t="str">
        <x:f>IF(OR(E168="",G168=""),"",E168/G168)</x:f>
      </x:c>
      <x:c r="S168" s="36" t="str">
        <x:f>IF(OR(F168="",G168=""),"",F168/G168)</x:f>
      </x:c>
      <x:c r="T168" s="36" t="str">
        <x:f>IF(OR(H168="",I168="",J168=""),"",0.45*H168^2/(4*PI())+0.10*I168^2/(4*PI())+0.45*J168^2/(4*PI()))</x:f>
      </x:c>
      <x:c r="U168" s="36" t="str">
        <x:f>IF(G168="","",1.1*G168*100)</x:f>
      </x:c>
      <x:c r="V168" s="36" t="str">
        <x:f>IF(OR(E168="",T168="",U168=""),"",E168*T168/U168)</x:f>
      </x:c>
      <x:c r="W168" s="37" t="str">
        <x:f>IF(OR(F168="",T168="",U168=""),"",F168*T168/U168)</x:f>
      </x:c>
    </x:row>
    <x:row r="169">
      <x:c r="A169" s="32"/>
      <x:c r="B169" s="33"/>
      <x:c r="C169" s="34"/>
      <x:c r="D169" s="34"/>
      <x:c r="E169" s="35"/>
      <x:c r="F169" s="35"/>
      <x:c r="G169" s="35"/>
      <x:c r="H169" s="35"/>
      <x:c r="I169" s="35"/>
      <x:c r="J169" s="35"/>
      <x:c r="K169" s="34"/>
      <x:c r="L169" s="34"/>
      <x:c r="M169" s="34"/>
      <x:c r="N169" s="34"/>
      <x:c r="O169" s="34"/>
      <x:c r="P169" s="34"/>
      <x:c r="Q169" s="34"/>
      <x:c r="R169" s="36" t="str">
        <x:f>IF(OR(E169="",G169=""),"",E169/G169)</x:f>
      </x:c>
      <x:c r="S169" s="36" t="str">
        <x:f>IF(OR(F169="",G169=""),"",F169/G169)</x:f>
      </x:c>
      <x:c r="T169" s="36" t="str">
        <x:f>IF(OR(H169="",I169="",J169=""),"",0.45*H169^2/(4*PI())+0.10*I169^2/(4*PI())+0.45*J169^2/(4*PI()))</x:f>
      </x:c>
      <x:c r="U169" s="36" t="str">
        <x:f>IF(G169="","",1.1*G169*100)</x:f>
      </x:c>
      <x:c r="V169" s="36" t="str">
        <x:f>IF(OR(E169="",T169="",U169=""),"",E169*T169/U169)</x:f>
      </x:c>
      <x:c r="W169" s="37" t="str">
        <x:f>IF(OR(F169="",T169="",U169=""),"",F169*T169/U169)</x:f>
      </x:c>
    </x:row>
    <x:row r="170">
      <x:c r="A170" s="32"/>
      <x:c r="B170" s="33"/>
      <x:c r="C170" s="34"/>
      <x:c r="D170" s="34"/>
      <x:c r="E170" s="35"/>
      <x:c r="F170" s="35"/>
      <x:c r="G170" s="35"/>
      <x:c r="H170" s="35"/>
      <x:c r="I170" s="35"/>
      <x:c r="J170" s="35"/>
      <x:c r="K170" s="34"/>
      <x:c r="L170" s="34"/>
      <x:c r="M170" s="34"/>
      <x:c r="N170" s="34"/>
      <x:c r="O170" s="34"/>
      <x:c r="P170" s="34"/>
      <x:c r="Q170" s="34"/>
      <x:c r="R170" s="36" t="str">
        <x:f>IF(OR(E170="",G170=""),"",E170/G170)</x:f>
      </x:c>
      <x:c r="S170" s="36" t="str">
        <x:f>IF(OR(F170="",G170=""),"",F170/G170)</x:f>
      </x:c>
      <x:c r="T170" s="36" t="str">
        <x:f>IF(OR(H170="",I170="",J170=""),"",0.45*H170^2/(4*PI())+0.10*I170^2/(4*PI())+0.45*J170^2/(4*PI()))</x:f>
      </x:c>
      <x:c r="U170" s="36" t="str">
        <x:f>IF(G170="","",1.1*G170*100)</x:f>
      </x:c>
      <x:c r="V170" s="36" t="str">
        <x:f>IF(OR(E170="",T170="",U170=""),"",E170*T170/U170)</x:f>
      </x:c>
      <x:c r="W170" s="37" t="str">
        <x:f>IF(OR(F170="",T170="",U170=""),"",F170*T170/U170)</x:f>
      </x:c>
    </x:row>
    <x:row r="171">
      <x:c r="A171" s="32"/>
      <x:c r="B171" s="33"/>
      <x:c r="C171" s="34"/>
      <x:c r="D171" s="34"/>
      <x:c r="E171" s="35"/>
      <x:c r="F171" s="35"/>
      <x:c r="G171" s="35"/>
      <x:c r="H171" s="35"/>
      <x:c r="I171" s="35"/>
      <x:c r="J171" s="35"/>
      <x:c r="K171" s="34"/>
      <x:c r="L171" s="34"/>
      <x:c r="M171" s="34"/>
      <x:c r="N171" s="34"/>
      <x:c r="O171" s="34"/>
      <x:c r="P171" s="34"/>
      <x:c r="Q171" s="34"/>
      <x:c r="R171" s="36" t="str">
        <x:f>IF(OR(E171="",G171=""),"",E171/G171)</x:f>
      </x:c>
      <x:c r="S171" s="36" t="str">
        <x:f>IF(OR(F171="",G171=""),"",F171/G171)</x:f>
      </x:c>
      <x:c r="T171" s="36" t="str">
        <x:f>IF(OR(H171="",I171="",J171=""),"",0.45*H171^2/(4*PI())+0.10*I171^2/(4*PI())+0.45*J171^2/(4*PI()))</x:f>
      </x:c>
      <x:c r="U171" s="36" t="str">
        <x:f>IF(G171="","",1.1*G171*100)</x:f>
      </x:c>
      <x:c r="V171" s="36" t="str">
        <x:f>IF(OR(E171="",T171="",U171=""),"",E171*T171/U171)</x:f>
      </x:c>
      <x:c r="W171" s="37" t="str">
        <x:f>IF(OR(F171="",T171="",U171=""),"",F171*T171/U171)</x:f>
      </x:c>
    </x:row>
    <x:row r="172">
      <x:c r="A172" s="32"/>
      <x:c r="B172" s="33"/>
      <x:c r="C172" s="34"/>
      <x:c r="D172" s="34"/>
      <x:c r="E172" s="35"/>
      <x:c r="F172" s="35"/>
      <x:c r="G172" s="35"/>
      <x:c r="H172" s="35"/>
      <x:c r="I172" s="35"/>
      <x:c r="J172" s="35"/>
      <x:c r="K172" s="34"/>
      <x:c r="L172" s="34"/>
      <x:c r="M172" s="34"/>
      <x:c r="N172" s="34"/>
      <x:c r="O172" s="34"/>
      <x:c r="P172" s="34"/>
      <x:c r="Q172" s="34"/>
      <x:c r="R172" s="36" t="str">
        <x:f>IF(OR(E172="",G172=""),"",E172/G172)</x:f>
      </x:c>
      <x:c r="S172" s="36" t="str">
        <x:f>IF(OR(F172="",G172=""),"",F172/G172)</x:f>
      </x:c>
      <x:c r="T172" s="36" t="str">
        <x:f>IF(OR(H172="",I172="",J172=""),"",0.45*H172^2/(4*PI())+0.10*I172^2/(4*PI())+0.45*J172^2/(4*PI()))</x:f>
      </x:c>
      <x:c r="U172" s="36" t="str">
        <x:f>IF(G172="","",1.1*G172*100)</x:f>
      </x:c>
      <x:c r="V172" s="36" t="str">
        <x:f>IF(OR(E172="",T172="",U172=""),"",E172*T172/U172)</x:f>
      </x:c>
      <x:c r="W172" s="37" t="str">
        <x:f>IF(OR(F172="",T172="",U172=""),"",F172*T172/U172)</x:f>
      </x:c>
    </x:row>
    <x:row r="173">
      <x:c r="A173" s="32"/>
      <x:c r="B173" s="33"/>
      <x:c r="C173" s="34"/>
      <x:c r="D173" s="34"/>
      <x:c r="E173" s="35"/>
      <x:c r="F173" s="35"/>
      <x:c r="G173" s="35"/>
      <x:c r="H173" s="35"/>
      <x:c r="I173" s="35"/>
      <x:c r="J173" s="35"/>
      <x:c r="K173" s="34"/>
      <x:c r="L173" s="34"/>
      <x:c r="M173" s="34"/>
      <x:c r="N173" s="34"/>
      <x:c r="O173" s="34"/>
      <x:c r="P173" s="34"/>
      <x:c r="Q173" s="34"/>
      <x:c r="R173" s="36" t="str">
        <x:f>IF(OR(E173="",G173=""),"",E173/G173)</x:f>
      </x:c>
      <x:c r="S173" s="36" t="str">
        <x:f>IF(OR(F173="",G173=""),"",F173/G173)</x:f>
      </x:c>
      <x:c r="T173" s="36" t="str">
        <x:f>IF(OR(H173="",I173="",J173=""),"",0.45*H173^2/(4*PI())+0.10*I173^2/(4*PI())+0.45*J173^2/(4*PI()))</x:f>
      </x:c>
      <x:c r="U173" s="36" t="str">
        <x:f>IF(G173="","",1.1*G173*100)</x:f>
      </x:c>
      <x:c r="V173" s="36" t="str">
        <x:f>IF(OR(E173="",T173="",U173=""),"",E173*T173/U173)</x:f>
      </x:c>
      <x:c r="W173" s="37" t="str">
        <x:f>IF(OR(F173="",T173="",U173=""),"",F173*T173/U173)</x:f>
      </x:c>
    </x:row>
    <x:row r="174">
      <x:c r="A174" s="32"/>
      <x:c r="B174" s="33"/>
      <x:c r="C174" s="34"/>
      <x:c r="D174" s="34"/>
      <x:c r="E174" s="35"/>
      <x:c r="F174" s="35"/>
      <x:c r="G174" s="35"/>
      <x:c r="H174" s="35"/>
      <x:c r="I174" s="35"/>
      <x:c r="J174" s="35"/>
      <x:c r="K174" s="34"/>
      <x:c r="L174" s="34"/>
      <x:c r="M174" s="34"/>
      <x:c r="N174" s="34"/>
      <x:c r="O174" s="34"/>
      <x:c r="P174" s="34"/>
      <x:c r="Q174" s="34"/>
      <x:c r="R174" s="36" t="str">
        <x:f>IF(OR(E174="",G174=""),"",E174/G174)</x:f>
      </x:c>
      <x:c r="S174" s="36" t="str">
        <x:f>IF(OR(F174="",G174=""),"",F174/G174)</x:f>
      </x:c>
      <x:c r="T174" s="36" t="str">
        <x:f>IF(OR(H174="",I174="",J174=""),"",0.45*H174^2/(4*PI())+0.10*I174^2/(4*PI())+0.45*J174^2/(4*PI()))</x:f>
      </x:c>
      <x:c r="U174" s="36" t="str">
        <x:f>IF(G174="","",1.1*G174*100)</x:f>
      </x:c>
      <x:c r="V174" s="36" t="str">
        <x:f>IF(OR(E174="",T174="",U174=""),"",E174*T174/U174)</x:f>
      </x:c>
      <x:c r="W174" s="37" t="str">
        <x:f>IF(OR(F174="",T174="",U174=""),"",F174*T174/U174)</x:f>
      </x:c>
    </x:row>
    <x:row r="175">
      <x:c r="A175" s="32"/>
      <x:c r="B175" s="33"/>
      <x:c r="C175" s="34"/>
      <x:c r="D175" s="34"/>
      <x:c r="E175" s="35"/>
      <x:c r="F175" s="35"/>
      <x:c r="G175" s="35"/>
      <x:c r="H175" s="35"/>
      <x:c r="I175" s="35"/>
      <x:c r="J175" s="35"/>
      <x:c r="K175" s="34"/>
      <x:c r="L175" s="34"/>
      <x:c r="M175" s="34"/>
      <x:c r="N175" s="34"/>
      <x:c r="O175" s="34"/>
      <x:c r="P175" s="34"/>
      <x:c r="Q175" s="34"/>
      <x:c r="R175" s="36" t="str">
        <x:f>IF(OR(E175="",G175=""),"",E175/G175)</x:f>
      </x:c>
      <x:c r="S175" s="36" t="str">
        <x:f>IF(OR(F175="",G175=""),"",F175/G175)</x:f>
      </x:c>
      <x:c r="T175" s="36" t="str">
        <x:f>IF(OR(H175="",I175="",J175=""),"",0.45*H175^2/(4*PI())+0.10*I175^2/(4*PI())+0.45*J175^2/(4*PI()))</x:f>
      </x:c>
      <x:c r="U175" s="36" t="str">
        <x:f>IF(G175="","",1.1*G175*100)</x:f>
      </x:c>
      <x:c r="V175" s="36" t="str">
        <x:f>IF(OR(E175="",T175="",U175=""),"",E175*T175/U175)</x:f>
      </x:c>
      <x:c r="W175" s="37" t="str">
        <x:f>IF(OR(F175="",T175="",U175=""),"",F175*T175/U175)</x:f>
      </x:c>
    </x:row>
    <x:row r="176">
      <x:c r="A176" s="32"/>
      <x:c r="B176" s="33"/>
      <x:c r="C176" s="34"/>
      <x:c r="D176" s="34"/>
      <x:c r="E176" s="35"/>
      <x:c r="F176" s="35"/>
      <x:c r="G176" s="35"/>
      <x:c r="H176" s="35"/>
      <x:c r="I176" s="35"/>
      <x:c r="J176" s="35"/>
      <x:c r="K176" s="34"/>
      <x:c r="L176" s="34"/>
      <x:c r="M176" s="34"/>
      <x:c r="N176" s="34"/>
      <x:c r="O176" s="34"/>
      <x:c r="P176" s="34"/>
      <x:c r="Q176" s="34"/>
      <x:c r="R176" s="36" t="str">
        <x:f>IF(OR(E176="",G176=""),"",E176/G176)</x:f>
      </x:c>
      <x:c r="S176" s="36" t="str">
        <x:f>IF(OR(F176="",G176=""),"",F176/G176)</x:f>
      </x:c>
      <x:c r="T176" s="36" t="str">
        <x:f>IF(OR(H176="",I176="",J176=""),"",0.45*H176^2/(4*PI())+0.10*I176^2/(4*PI())+0.45*J176^2/(4*PI()))</x:f>
      </x:c>
      <x:c r="U176" s="36" t="str">
        <x:f>IF(G176="","",1.1*G176*100)</x:f>
      </x:c>
      <x:c r="V176" s="36" t="str">
        <x:f>IF(OR(E176="",T176="",U176=""),"",E176*T176/U176)</x:f>
      </x:c>
      <x:c r="W176" s="37" t="str">
        <x:f>IF(OR(F176="",T176="",U176=""),"",F176*T176/U176)</x:f>
      </x:c>
    </x:row>
    <x:row r="177">
      <x:c r="A177" s="32"/>
      <x:c r="B177" s="33"/>
      <x:c r="C177" s="34"/>
      <x:c r="D177" s="34"/>
      <x:c r="E177" s="35"/>
      <x:c r="F177" s="35"/>
      <x:c r="G177" s="35"/>
      <x:c r="H177" s="35"/>
      <x:c r="I177" s="35"/>
      <x:c r="J177" s="35"/>
      <x:c r="K177" s="34"/>
      <x:c r="L177" s="34"/>
      <x:c r="M177" s="34"/>
      <x:c r="N177" s="34"/>
      <x:c r="O177" s="34"/>
      <x:c r="P177" s="34"/>
      <x:c r="Q177" s="34"/>
      <x:c r="R177" s="36" t="str">
        <x:f>IF(OR(E177="",G177=""),"",E177/G177)</x:f>
      </x:c>
      <x:c r="S177" s="36" t="str">
        <x:f>IF(OR(F177="",G177=""),"",F177/G177)</x:f>
      </x:c>
      <x:c r="T177" s="36" t="str">
        <x:f>IF(OR(H177="",I177="",J177=""),"",0.45*H177^2/(4*PI())+0.10*I177^2/(4*PI())+0.45*J177^2/(4*PI()))</x:f>
      </x:c>
      <x:c r="U177" s="36" t="str">
        <x:f>IF(G177="","",1.1*G177*100)</x:f>
      </x:c>
      <x:c r="V177" s="36" t="str">
        <x:f>IF(OR(E177="",T177="",U177=""),"",E177*T177/U177)</x:f>
      </x:c>
      <x:c r="W177" s="37" t="str">
        <x:f>IF(OR(F177="",T177="",U177=""),"",F177*T177/U177)</x:f>
      </x:c>
    </x:row>
    <x:row r="178">
      <x:c r="A178" s="32"/>
      <x:c r="B178" s="33"/>
      <x:c r="C178" s="34"/>
      <x:c r="D178" s="34"/>
      <x:c r="E178" s="35"/>
      <x:c r="F178" s="35"/>
      <x:c r="G178" s="35"/>
      <x:c r="H178" s="35"/>
      <x:c r="I178" s="35"/>
      <x:c r="J178" s="35"/>
      <x:c r="K178" s="34"/>
      <x:c r="L178" s="34"/>
      <x:c r="M178" s="34"/>
      <x:c r="N178" s="34"/>
      <x:c r="O178" s="34"/>
      <x:c r="P178" s="34"/>
      <x:c r="Q178" s="34"/>
      <x:c r="R178" s="36" t="str">
        <x:f>IF(OR(E178="",G178=""),"",E178/G178)</x:f>
      </x:c>
      <x:c r="S178" s="36" t="str">
        <x:f>IF(OR(F178="",G178=""),"",F178/G178)</x:f>
      </x:c>
      <x:c r="T178" s="36" t="str">
        <x:f>IF(OR(H178="",I178="",J178=""),"",0.45*H178^2/(4*PI())+0.10*I178^2/(4*PI())+0.45*J178^2/(4*PI()))</x:f>
      </x:c>
      <x:c r="U178" s="36" t="str">
        <x:f>IF(G178="","",1.1*G178*100)</x:f>
      </x:c>
      <x:c r="V178" s="36" t="str">
        <x:f>IF(OR(E178="",T178="",U178=""),"",E178*T178/U178)</x:f>
      </x:c>
      <x:c r="W178" s="37" t="str">
        <x:f>IF(OR(F178="",T178="",U178=""),"",F178*T178/U178)</x:f>
      </x:c>
    </x:row>
    <x:row r="179">
      <x:c r="A179" s="32"/>
      <x:c r="B179" s="33"/>
      <x:c r="C179" s="34"/>
      <x:c r="D179" s="34"/>
      <x:c r="E179" s="35"/>
      <x:c r="F179" s="35"/>
      <x:c r="G179" s="35"/>
      <x:c r="H179" s="35"/>
      <x:c r="I179" s="35"/>
      <x:c r="J179" s="35"/>
      <x:c r="K179" s="34"/>
      <x:c r="L179" s="34"/>
      <x:c r="M179" s="34"/>
      <x:c r="N179" s="34"/>
      <x:c r="O179" s="34"/>
      <x:c r="P179" s="34"/>
      <x:c r="Q179" s="34"/>
      <x:c r="R179" s="36" t="str">
        <x:f>IF(OR(E179="",G179=""),"",E179/G179)</x:f>
      </x:c>
      <x:c r="S179" s="36" t="str">
        <x:f>IF(OR(F179="",G179=""),"",F179/G179)</x:f>
      </x:c>
      <x:c r="T179" s="36" t="str">
        <x:f>IF(OR(H179="",I179="",J179=""),"",0.45*H179^2/(4*PI())+0.10*I179^2/(4*PI())+0.45*J179^2/(4*PI()))</x:f>
      </x:c>
      <x:c r="U179" s="36" t="str">
        <x:f>IF(G179="","",1.1*G179*100)</x:f>
      </x:c>
      <x:c r="V179" s="36" t="str">
        <x:f>IF(OR(E179="",T179="",U179=""),"",E179*T179/U179)</x:f>
      </x:c>
      <x:c r="W179" s="37" t="str">
        <x:f>IF(OR(F179="",T179="",U179=""),"",F179*T179/U179)</x:f>
      </x:c>
    </x:row>
    <x:row r="180">
      <x:c r="A180" s="32"/>
      <x:c r="B180" s="33"/>
      <x:c r="C180" s="34"/>
      <x:c r="D180" s="34"/>
      <x:c r="E180" s="35"/>
      <x:c r="F180" s="35"/>
      <x:c r="G180" s="35"/>
      <x:c r="H180" s="35"/>
      <x:c r="I180" s="35"/>
      <x:c r="J180" s="35"/>
      <x:c r="K180" s="34"/>
      <x:c r="L180" s="34"/>
      <x:c r="M180" s="34"/>
      <x:c r="N180" s="34"/>
      <x:c r="O180" s="34"/>
      <x:c r="P180" s="34"/>
      <x:c r="Q180" s="34"/>
      <x:c r="R180" s="36" t="str">
        <x:f>IF(OR(E180="",G180=""),"",E180/G180)</x:f>
      </x:c>
      <x:c r="S180" s="36" t="str">
        <x:f>IF(OR(F180="",G180=""),"",F180/G180)</x:f>
      </x:c>
      <x:c r="T180" s="36" t="str">
        <x:f>IF(OR(H180="",I180="",J180=""),"",0.45*H180^2/(4*PI())+0.10*I180^2/(4*PI())+0.45*J180^2/(4*PI()))</x:f>
      </x:c>
      <x:c r="U180" s="36" t="str">
        <x:f>IF(G180="","",1.1*G180*100)</x:f>
      </x:c>
      <x:c r="V180" s="36" t="str">
        <x:f>IF(OR(E180="",T180="",U180=""),"",E180*T180/U180)</x:f>
      </x:c>
      <x:c r="W180" s="37" t="str">
        <x:f>IF(OR(F180="",T180="",U180=""),"",F180*T180/U180)</x:f>
      </x:c>
    </x:row>
    <x:row r="181">
      <x:c r="A181" s="32"/>
      <x:c r="B181" s="33"/>
      <x:c r="C181" s="34"/>
      <x:c r="D181" s="34"/>
      <x:c r="E181" s="35"/>
      <x:c r="F181" s="35"/>
      <x:c r="G181" s="35"/>
      <x:c r="H181" s="35"/>
      <x:c r="I181" s="35"/>
      <x:c r="J181" s="35"/>
      <x:c r="K181" s="34"/>
      <x:c r="L181" s="34"/>
      <x:c r="M181" s="34"/>
      <x:c r="N181" s="34"/>
      <x:c r="O181" s="34"/>
      <x:c r="P181" s="34"/>
      <x:c r="Q181" s="34"/>
      <x:c r="R181" s="36" t="str">
        <x:f>IF(OR(E181="",G181=""),"",E181/G181)</x:f>
      </x:c>
      <x:c r="S181" s="36" t="str">
        <x:f>IF(OR(F181="",G181=""),"",F181/G181)</x:f>
      </x:c>
      <x:c r="T181" s="36" t="str">
        <x:f>IF(OR(H181="",I181="",J181=""),"",0.45*H181^2/(4*PI())+0.10*I181^2/(4*PI())+0.45*J181^2/(4*PI()))</x:f>
      </x:c>
      <x:c r="U181" s="36" t="str">
        <x:f>IF(G181="","",1.1*G181*100)</x:f>
      </x:c>
      <x:c r="V181" s="36" t="str">
        <x:f>IF(OR(E181="",T181="",U181=""),"",E181*T181/U181)</x:f>
      </x:c>
      <x:c r="W181" s="37" t="str">
        <x:f>IF(OR(F181="",T181="",U181=""),"",F181*T181/U181)</x:f>
      </x:c>
    </x:row>
    <x:row r="182">
      <x:c r="A182" s="32"/>
      <x:c r="B182" s="33"/>
      <x:c r="C182" s="34"/>
      <x:c r="D182" s="34"/>
      <x:c r="E182" s="35"/>
      <x:c r="F182" s="35"/>
      <x:c r="G182" s="35"/>
      <x:c r="H182" s="35"/>
      <x:c r="I182" s="35"/>
      <x:c r="J182" s="35"/>
      <x:c r="K182" s="34"/>
      <x:c r="L182" s="34"/>
      <x:c r="M182" s="34"/>
      <x:c r="N182" s="34"/>
      <x:c r="O182" s="34"/>
      <x:c r="P182" s="34"/>
      <x:c r="Q182" s="34"/>
      <x:c r="R182" s="36" t="str">
        <x:f>IF(OR(E182="",G182=""),"",E182/G182)</x:f>
      </x:c>
      <x:c r="S182" s="36" t="str">
        <x:f>IF(OR(F182="",G182=""),"",F182/G182)</x:f>
      </x:c>
      <x:c r="T182" s="36" t="str">
        <x:f>IF(OR(H182="",I182="",J182=""),"",0.45*H182^2/(4*PI())+0.10*I182^2/(4*PI())+0.45*J182^2/(4*PI()))</x:f>
      </x:c>
      <x:c r="U182" s="36" t="str">
        <x:f>IF(G182="","",1.1*G182*100)</x:f>
      </x:c>
      <x:c r="V182" s="36" t="str">
        <x:f>IF(OR(E182="",T182="",U182=""),"",E182*T182/U182)</x:f>
      </x:c>
      <x:c r="W182" s="37" t="str">
        <x:f>IF(OR(F182="",T182="",U182=""),"",F182*T182/U182)</x:f>
      </x:c>
    </x:row>
    <x:row r="183">
      <x:c r="A183" s="32"/>
      <x:c r="B183" s="33"/>
      <x:c r="C183" s="34"/>
      <x:c r="D183" s="34"/>
      <x:c r="E183" s="35"/>
      <x:c r="F183" s="35"/>
      <x:c r="G183" s="35"/>
      <x:c r="H183" s="35"/>
      <x:c r="I183" s="35"/>
      <x:c r="J183" s="35"/>
      <x:c r="K183" s="34"/>
      <x:c r="L183" s="34"/>
      <x:c r="M183" s="34"/>
      <x:c r="N183" s="34"/>
      <x:c r="O183" s="34"/>
      <x:c r="P183" s="34"/>
      <x:c r="Q183" s="34"/>
      <x:c r="R183" s="36" t="str">
        <x:f>IF(OR(E183="",G183=""),"",E183/G183)</x:f>
      </x:c>
      <x:c r="S183" s="36" t="str">
        <x:f>IF(OR(F183="",G183=""),"",F183/G183)</x:f>
      </x:c>
      <x:c r="T183" s="36" t="str">
        <x:f>IF(OR(H183="",I183="",J183=""),"",0.45*H183^2/(4*PI())+0.10*I183^2/(4*PI())+0.45*J183^2/(4*PI()))</x:f>
      </x:c>
      <x:c r="U183" s="36" t="str">
        <x:f>IF(G183="","",1.1*G183*100)</x:f>
      </x:c>
      <x:c r="V183" s="36" t="str">
        <x:f>IF(OR(E183="",T183="",U183=""),"",E183*T183/U183)</x:f>
      </x:c>
      <x:c r="W183" s="37" t="str">
        <x:f>IF(OR(F183="",T183="",U183=""),"",F183*T183/U183)</x:f>
      </x:c>
    </x:row>
    <x:row r="184">
      <x:c r="A184" s="32"/>
      <x:c r="B184" s="33"/>
      <x:c r="C184" s="34"/>
      <x:c r="D184" s="34"/>
      <x:c r="E184" s="35"/>
      <x:c r="F184" s="35"/>
      <x:c r="G184" s="35"/>
      <x:c r="H184" s="35"/>
      <x:c r="I184" s="35"/>
      <x:c r="J184" s="35"/>
      <x:c r="K184" s="34"/>
      <x:c r="L184" s="34"/>
      <x:c r="M184" s="34"/>
      <x:c r="N184" s="34"/>
      <x:c r="O184" s="34"/>
      <x:c r="P184" s="34"/>
      <x:c r="Q184" s="34"/>
      <x:c r="R184" s="36" t="str">
        <x:f>IF(OR(E184="",G184=""),"",E184/G184)</x:f>
      </x:c>
      <x:c r="S184" s="36" t="str">
        <x:f>IF(OR(F184="",G184=""),"",F184/G184)</x:f>
      </x:c>
      <x:c r="T184" s="36" t="str">
        <x:f>IF(OR(H184="",I184="",J184=""),"",0.45*H184^2/(4*PI())+0.10*I184^2/(4*PI())+0.45*J184^2/(4*PI()))</x:f>
      </x:c>
      <x:c r="U184" s="36" t="str">
        <x:f>IF(G184="","",1.1*G184*100)</x:f>
      </x:c>
      <x:c r="V184" s="36" t="str">
        <x:f>IF(OR(E184="",T184="",U184=""),"",E184*T184/U184)</x:f>
      </x:c>
      <x:c r="W184" s="37" t="str">
        <x:f>IF(OR(F184="",T184="",U184=""),"",F184*T184/U184)</x:f>
      </x:c>
    </x:row>
    <x:row r="185">
      <x:c r="A185" s="32"/>
      <x:c r="B185" s="33"/>
      <x:c r="C185" s="34"/>
      <x:c r="D185" s="34"/>
      <x:c r="E185" s="35"/>
      <x:c r="F185" s="35"/>
      <x:c r="G185" s="35"/>
      <x:c r="H185" s="35"/>
      <x:c r="I185" s="35"/>
      <x:c r="J185" s="35"/>
      <x:c r="K185" s="34"/>
      <x:c r="L185" s="34"/>
      <x:c r="M185" s="34"/>
      <x:c r="N185" s="34"/>
      <x:c r="O185" s="34"/>
      <x:c r="P185" s="34"/>
      <x:c r="Q185" s="34"/>
      <x:c r="R185" s="36" t="str">
        <x:f>IF(OR(E185="",G185=""),"",E185/G185)</x:f>
      </x:c>
      <x:c r="S185" s="36" t="str">
        <x:f>IF(OR(F185="",G185=""),"",F185/G185)</x:f>
      </x:c>
      <x:c r="T185" s="36" t="str">
        <x:f>IF(OR(H185="",I185="",J185=""),"",0.45*H185^2/(4*PI())+0.10*I185^2/(4*PI())+0.45*J185^2/(4*PI()))</x:f>
      </x:c>
      <x:c r="U185" s="36" t="str">
        <x:f>IF(G185="","",1.1*G185*100)</x:f>
      </x:c>
      <x:c r="V185" s="36" t="str">
        <x:f>IF(OR(E185="",T185="",U185=""),"",E185*T185/U185)</x:f>
      </x:c>
      <x:c r="W185" s="37" t="str">
        <x:f>IF(OR(F185="",T185="",U185=""),"",F185*T185/U185)</x:f>
      </x:c>
    </x:row>
    <x:row r="186">
      <x:c r="A186" s="32"/>
      <x:c r="B186" s="33"/>
      <x:c r="C186" s="34"/>
      <x:c r="D186" s="34"/>
      <x:c r="E186" s="35"/>
      <x:c r="F186" s="35"/>
      <x:c r="G186" s="35"/>
      <x:c r="H186" s="35"/>
      <x:c r="I186" s="35"/>
      <x:c r="J186" s="35"/>
      <x:c r="K186" s="34"/>
      <x:c r="L186" s="34"/>
      <x:c r="M186" s="34"/>
      <x:c r="N186" s="34"/>
      <x:c r="O186" s="34"/>
      <x:c r="P186" s="34"/>
      <x:c r="Q186" s="34"/>
      <x:c r="R186" s="36" t="str">
        <x:f>IF(OR(E186="",G186=""),"",E186/G186)</x:f>
      </x:c>
      <x:c r="S186" s="36" t="str">
        <x:f>IF(OR(F186="",G186=""),"",F186/G186)</x:f>
      </x:c>
      <x:c r="T186" s="36" t="str">
        <x:f>IF(OR(H186="",I186="",J186=""),"",0.45*H186^2/(4*PI())+0.10*I186^2/(4*PI())+0.45*J186^2/(4*PI()))</x:f>
      </x:c>
      <x:c r="U186" s="36" t="str">
        <x:f>IF(G186="","",1.1*G186*100)</x:f>
      </x:c>
      <x:c r="V186" s="36" t="str">
        <x:f>IF(OR(E186="",T186="",U186=""),"",E186*T186/U186)</x:f>
      </x:c>
      <x:c r="W186" s="37" t="str">
        <x:f>IF(OR(F186="",T186="",U186=""),"",F186*T186/U186)</x:f>
      </x:c>
    </x:row>
    <x:row r="187">
      <x:c r="A187" s="32"/>
      <x:c r="B187" s="33"/>
      <x:c r="C187" s="34"/>
      <x:c r="D187" s="34"/>
      <x:c r="E187" s="35"/>
      <x:c r="F187" s="35"/>
      <x:c r="G187" s="35"/>
      <x:c r="H187" s="35"/>
      <x:c r="I187" s="35"/>
      <x:c r="J187" s="35"/>
      <x:c r="K187" s="34"/>
      <x:c r="L187" s="34"/>
      <x:c r="M187" s="34"/>
      <x:c r="N187" s="34"/>
      <x:c r="O187" s="34"/>
      <x:c r="P187" s="34"/>
      <x:c r="Q187" s="34"/>
      <x:c r="R187" s="36" t="str">
        <x:f>IF(OR(E187="",G187=""),"",E187/G187)</x:f>
      </x:c>
      <x:c r="S187" s="36" t="str">
        <x:f>IF(OR(F187="",G187=""),"",F187/G187)</x:f>
      </x:c>
      <x:c r="T187" s="36" t="str">
        <x:f>IF(OR(H187="",I187="",J187=""),"",0.45*H187^2/(4*PI())+0.10*I187^2/(4*PI())+0.45*J187^2/(4*PI()))</x:f>
      </x:c>
      <x:c r="U187" s="36" t="str">
        <x:f>IF(G187="","",1.1*G187*100)</x:f>
      </x:c>
      <x:c r="V187" s="36" t="str">
        <x:f>IF(OR(E187="",T187="",U187=""),"",E187*T187/U187)</x:f>
      </x:c>
      <x:c r="W187" s="37" t="str">
        <x:f>IF(OR(F187="",T187="",U187=""),"",F187*T187/U187)</x:f>
      </x:c>
    </x:row>
    <x:row r="188">
      <x:c r="A188" s="32"/>
      <x:c r="B188" s="33"/>
      <x:c r="C188" s="34"/>
      <x:c r="D188" s="34"/>
      <x:c r="E188" s="35"/>
      <x:c r="F188" s="35"/>
      <x:c r="G188" s="35"/>
      <x:c r="H188" s="35"/>
      <x:c r="I188" s="35"/>
      <x:c r="J188" s="35"/>
      <x:c r="K188" s="34"/>
      <x:c r="L188" s="34"/>
      <x:c r="M188" s="34"/>
      <x:c r="N188" s="34"/>
      <x:c r="O188" s="34"/>
      <x:c r="P188" s="34"/>
      <x:c r="Q188" s="34"/>
      <x:c r="R188" s="36" t="str">
        <x:f>IF(OR(E188="",G188=""),"",E188/G188)</x:f>
      </x:c>
      <x:c r="S188" s="36" t="str">
        <x:f>IF(OR(F188="",G188=""),"",F188/G188)</x:f>
      </x:c>
      <x:c r="T188" s="36" t="str">
        <x:f>IF(OR(H188="",I188="",J188=""),"",0.45*H188^2/(4*PI())+0.10*I188^2/(4*PI())+0.45*J188^2/(4*PI()))</x:f>
      </x:c>
      <x:c r="U188" s="36" t="str">
        <x:f>IF(G188="","",1.1*G188*100)</x:f>
      </x:c>
      <x:c r="V188" s="36" t="str">
        <x:f>IF(OR(E188="",T188="",U188=""),"",E188*T188/U188)</x:f>
      </x:c>
      <x:c r="W188" s="37" t="str">
        <x:f>IF(OR(F188="",T188="",U188=""),"",F188*T188/U188)</x:f>
      </x:c>
    </x:row>
    <x:row r="189">
      <x:c r="A189" s="32"/>
      <x:c r="B189" s="33"/>
      <x:c r="C189" s="34"/>
      <x:c r="D189" s="34"/>
      <x:c r="E189" s="35"/>
      <x:c r="F189" s="35"/>
      <x:c r="G189" s="35"/>
      <x:c r="H189" s="35"/>
      <x:c r="I189" s="35"/>
      <x:c r="J189" s="35"/>
      <x:c r="K189" s="34"/>
      <x:c r="L189" s="34"/>
      <x:c r="M189" s="34"/>
      <x:c r="N189" s="34"/>
      <x:c r="O189" s="34"/>
      <x:c r="P189" s="34"/>
      <x:c r="Q189" s="34"/>
      <x:c r="R189" s="36" t="str">
        <x:f>IF(OR(E189="",G189=""),"",E189/G189)</x:f>
      </x:c>
      <x:c r="S189" s="36" t="str">
        <x:f>IF(OR(F189="",G189=""),"",F189/G189)</x:f>
      </x:c>
      <x:c r="T189" s="36" t="str">
        <x:f>IF(OR(H189="",I189="",J189=""),"",0.45*H189^2/(4*PI())+0.10*I189^2/(4*PI())+0.45*J189^2/(4*PI()))</x:f>
      </x:c>
      <x:c r="U189" s="36" t="str">
        <x:f>IF(G189="","",1.1*G189*100)</x:f>
      </x:c>
      <x:c r="V189" s="36" t="str">
        <x:f>IF(OR(E189="",T189="",U189=""),"",E189*T189/U189)</x:f>
      </x:c>
      <x:c r="W189" s="37" t="str">
        <x:f>IF(OR(F189="",T189="",U189=""),"",F189*T189/U189)</x:f>
      </x:c>
    </x:row>
    <x:row r="190">
      <x:c r="A190" s="32"/>
      <x:c r="B190" s="33"/>
      <x:c r="C190" s="34"/>
      <x:c r="D190" s="34"/>
      <x:c r="E190" s="35"/>
      <x:c r="F190" s="35"/>
      <x:c r="G190" s="35"/>
      <x:c r="H190" s="35"/>
      <x:c r="I190" s="35"/>
      <x:c r="J190" s="35"/>
      <x:c r="K190" s="34"/>
      <x:c r="L190" s="34"/>
      <x:c r="M190" s="34"/>
      <x:c r="N190" s="34"/>
      <x:c r="O190" s="34"/>
      <x:c r="P190" s="34"/>
      <x:c r="Q190" s="34"/>
      <x:c r="R190" s="36" t="str">
        <x:f>IF(OR(E190="",G190=""),"",E190/G190)</x:f>
      </x:c>
      <x:c r="S190" s="36" t="str">
        <x:f>IF(OR(F190="",G190=""),"",F190/G190)</x:f>
      </x:c>
      <x:c r="T190" s="36" t="str">
        <x:f>IF(OR(H190="",I190="",J190=""),"",0.45*H190^2/(4*PI())+0.10*I190^2/(4*PI())+0.45*J190^2/(4*PI()))</x:f>
      </x:c>
      <x:c r="U190" s="36" t="str">
        <x:f>IF(G190="","",1.1*G190*100)</x:f>
      </x:c>
      <x:c r="V190" s="36" t="str">
        <x:f>IF(OR(E190="",T190="",U190=""),"",E190*T190/U190)</x:f>
      </x:c>
      <x:c r="W190" s="37" t="str">
        <x:f>IF(OR(F190="",T190="",U190=""),"",F190*T190/U190)</x:f>
      </x:c>
    </x:row>
    <x:row r="191">
      <x:c r="A191" s="32"/>
      <x:c r="B191" s="33"/>
      <x:c r="C191" s="34"/>
      <x:c r="D191" s="34"/>
      <x:c r="E191" s="35"/>
      <x:c r="F191" s="35"/>
      <x:c r="G191" s="35"/>
      <x:c r="H191" s="35"/>
      <x:c r="I191" s="35"/>
      <x:c r="J191" s="35"/>
      <x:c r="K191" s="34"/>
      <x:c r="L191" s="34"/>
      <x:c r="M191" s="34"/>
      <x:c r="N191" s="34"/>
      <x:c r="O191" s="34"/>
      <x:c r="P191" s="34"/>
      <x:c r="Q191" s="34"/>
      <x:c r="R191" s="36" t="str">
        <x:f>IF(OR(E191="",G191=""),"",E191/G191)</x:f>
      </x:c>
      <x:c r="S191" s="36" t="str">
        <x:f>IF(OR(F191="",G191=""),"",F191/G191)</x:f>
      </x:c>
      <x:c r="T191" s="36" t="str">
        <x:f>IF(OR(H191="",I191="",J191=""),"",0.45*H191^2/(4*PI())+0.10*I191^2/(4*PI())+0.45*J191^2/(4*PI()))</x:f>
      </x:c>
      <x:c r="U191" s="36" t="str">
        <x:f>IF(G191="","",1.1*G191*100)</x:f>
      </x:c>
      <x:c r="V191" s="36" t="str">
        <x:f>IF(OR(E191="",T191="",U191=""),"",E191*T191/U191)</x:f>
      </x:c>
      <x:c r="W191" s="37" t="str">
        <x:f>IF(OR(F191="",T191="",U191=""),"",F191*T191/U191)</x:f>
      </x:c>
    </x:row>
    <x:row r="192">
      <x:c r="A192" s="32"/>
      <x:c r="B192" s="33"/>
      <x:c r="C192" s="34"/>
      <x:c r="D192" s="34"/>
      <x:c r="E192" s="35"/>
      <x:c r="F192" s="35"/>
      <x:c r="G192" s="35"/>
      <x:c r="H192" s="35"/>
      <x:c r="I192" s="35"/>
      <x:c r="J192" s="35"/>
      <x:c r="K192" s="34"/>
      <x:c r="L192" s="34"/>
      <x:c r="M192" s="34"/>
      <x:c r="N192" s="34"/>
      <x:c r="O192" s="34"/>
      <x:c r="P192" s="34"/>
      <x:c r="Q192" s="34"/>
      <x:c r="R192" s="36" t="str">
        <x:f>IF(OR(E192="",G192=""),"",E192/G192)</x:f>
      </x:c>
      <x:c r="S192" s="36" t="str">
        <x:f>IF(OR(F192="",G192=""),"",F192/G192)</x:f>
      </x:c>
      <x:c r="T192" s="36" t="str">
        <x:f>IF(OR(H192="",I192="",J192=""),"",0.45*H192^2/(4*PI())+0.10*I192^2/(4*PI())+0.45*J192^2/(4*PI()))</x:f>
      </x:c>
      <x:c r="U192" s="36" t="str">
        <x:f>IF(G192="","",1.1*G192*100)</x:f>
      </x:c>
      <x:c r="V192" s="36" t="str">
        <x:f>IF(OR(E192="",T192="",U192=""),"",E192*T192/U192)</x:f>
      </x:c>
      <x:c r="W192" s="37" t="str">
        <x:f>IF(OR(F192="",T192="",U192=""),"",F192*T192/U192)</x:f>
      </x:c>
    </x:row>
    <x:row r="193">
      <x:c r="A193" s="32"/>
      <x:c r="B193" s="33"/>
      <x:c r="C193" s="34"/>
      <x:c r="D193" s="34"/>
      <x:c r="E193" s="35"/>
      <x:c r="F193" s="35"/>
      <x:c r="G193" s="35"/>
      <x:c r="H193" s="35"/>
      <x:c r="I193" s="35"/>
      <x:c r="J193" s="35"/>
      <x:c r="K193" s="34"/>
      <x:c r="L193" s="34"/>
      <x:c r="M193" s="34"/>
      <x:c r="N193" s="34"/>
      <x:c r="O193" s="34"/>
      <x:c r="P193" s="34"/>
      <x:c r="Q193" s="34"/>
      <x:c r="R193" s="36" t="str">
        <x:f>IF(OR(E193="",G193=""),"",E193/G193)</x:f>
      </x:c>
      <x:c r="S193" s="36" t="str">
        <x:f>IF(OR(F193="",G193=""),"",F193/G193)</x:f>
      </x:c>
      <x:c r="T193" s="36" t="str">
        <x:f>IF(OR(H193="",I193="",J193=""),"",0.45*H193^2/(4*PI())+0.10*I193^2/(4*PI())+0.45*J193^2/(4*PI()))</x:f>
      </x:c>
      <x:c r="U193" s="36" t="str">
        <x:f>IF(G193="","",1.1*G193*100)</x:f>
      </x:c>
      <x:c r="V193" s="36" t="str">
        <x:f>IF(OR(E193="",T193="",U193=""),"",E193*T193/U193)</x:f>
      </x:c>
      <x:c r="W193" s="37" t="str">
        <x:f>IF(OR(F193="",T193="",U193=""),"",F193*T193/U193)</x:f>
      </x:c>
    </x:row>
    <x:row r="194">
      <x:c r="A194" s="32"/>
      <x:c r="B194" s="33"/>
      <x:c r="C194" s="34"/>
      <x:c r="D194" s="34"/>
      <x:c r="E194" s="35"/>
      <x:c r="F194" s="35"/>
      <x:c r="G194" s="35"/>
      <x:c r="H194" s="35"/>
      <x:c r="I194" s="35"/>
      <x:c r="J194" s="35"/>
      <x:c r="K194" s="34"/>
      <x:c r="L194" s="34"/>
      <x:c r="M194" s="34"/>
      <x:c r="N194" s="34"/>
      <x:c r="O194" s="34"/>
      <x:c r="P194" s="34"/>
      <x:c r="Q194" s="34"/>
      <x:c r="R194" s="36" t="str">
        <x:f>IF(OR(E194="",G194=""),"",E194/G194)</x:f>
      </x:c>
      <x:c r="S194" s="36" t="str">
        <x:f>IF(OR(F194="",G194=""),"",F194/G194)</x:f>
      </x:c>
      <x:c r="T194" s="36" t="str">
        <x:f>IF(OR(H194="",I194="",J194=""),"",0.45*H194^2/(4*PI())+0.10*I194^2/(4*PI())+0.45*J194^2/(4*PI()))</x:f>
      </x:c>
      <x:c r="U194" s="36" t="str">
        <x:f>IF(G194="","",1.1*G194*100)</x:f>
      </x:c>
      <x:c r="V194" s="36" t="str">
        <x:f>IF(OR(E194="",T194="",U194=""),"",E194*T194/U194)</x:f>
      </x:c>
      <x:c r="W194" s="37" t="str">
        <x:f>IF(OR(F194="",T194="",U194=""),"",F194*T194/U194)</x:f>
      </x:c>
    </x:row>
    <x:row r="195">
      <x:c r="A195" s="32"/>
      <x:c r="B195" s="33"/>
      <x:c r="C195" s="34"/>
      <x:c r="D195" s="34"/>
      <x:c r="E195" s="35"/>
      <x:c r="F195" s="35"/>
      <x:c r="G195" s="35"/>
      <x:c r="H195" s="35"/>
      <x:c r="I195" s="35"/>
      <x:c r="J195" s="35"/>
      <x:c r="K195" s="34"/>
      <x:c r="L195" s="34"/>
      <x:c r="M195" s="34"/>
      <x:c r="N195" s="34"/>
      <x:c r="O195" s="34"/>
      <x:c r="P195" s="34"/>
      <x:c r="Q195" s="34"/>
      <x:c r="R195" s="36" t="str">
        <x:f>IF(OR(E195="",G195=""),"",E195/G195)</x:f>
      </x:c>
      <x:c r="S195" s="36" t="str">
        <x:f>IF(OR(F195="",G195=""),"",F195/G195)</x:f>
      </x:c>
      <x:c r="T195" s="36" t="str">
        <x:f>IF(OR(H195="",I195="",J195=""),"",0.45*H195^2/(4*PI())+0.10*I195^2/(4*PI())+0.45*J195^2/(4*PI()))</x:f>
      </x:c>
      <x:c r="U195" s="36" t="str">
        <x:f>IF(G195="","",1.1*G195*100)</x:f>
      </x:c>
      <x:c r="V195" s="36" t="str">
        <x:f>IF(OR(E195="",T195="",U195=""),"",E195*T195/U195)</x:f>
      </x:c>
      <x:c r="W195" s="37" t="str">
        <x:f>IF(OR(F195="",T195="",U195=""),"",F195*T195/U195)</x:f>
      </x:c>
    </x:row>
    <x:row r="196">
      <x:c r="A196" s="32"/>
      <x:c r="B196" s="33"/>
      <x:c r="C196" s="34"/>
      <x:c r="D196" s="34"/>
      <x:c r="E196" s="35"/>
      <x:c r="F196" s="35"/>
      <x:c r="G196" s="35"/>
      <x:c r="H196" s="35"/>
      <x:c r="I196" s="35"/>
      <x:c r="J196" s="35"/>
      <x:c r="K196" s="34"/>
      <x:c r="L196" s="34"/>
      <x:c r="M196" s="34"/>
      <x:c r="N196" s="34"/>
      <x:c r="O196" s="34"/>
      <x:c r="P196" s="34"/>
      <x:c r="Q196" s="34"/>
      <x:c r="R196" s="36" t="str">
        <x:f>IF(OR(E196="",G196=""),"",E196/G196)</x:f>
      </x:c>
      <x:c r="S196" s="36" t="str">
        <x:f>IF(OR(F196="",G196=""),"",F196/G196)</x:f>
      </x:c>
      <x:c r="T196" s="36" t="str">
        <x:f>IF(OR(H196="",I196="",J196=""),"",0.45*H196^2/(4*PI())+0.10*I196^2/(4*PI())+0.45*J196^2/(4*PI()))</x:f>
      </x:c>
      <x:c r="U196" s="36" t="str">
        <x:f>IF(G196="","",1.1*G196*100)</x:f>
      </x:c>
      <x:c r="V196" s="36" t="str">
        <x:f>IF(OR(E196="",T196="",U196=""),"",E196*T196/U196)</x:f>
      </x:c>
      <x:c r="W196" s="37" t="str">
        <x:f>IF(OR(F196="",T196="",U196=""),"",F196*T196/U196)</x:f>
      </x:c>
    </x:row>
    <x:row r="197">
      <x:c r="A197" s="32"/>
      <x:c r="B197" s="33"/>
      <x:c r="C197" s="34"/>
      <x:c r="D197" s="34"/>
      <x:c r="E197" s="35"/>
      <x:c r="F197" s="35"/>
      <x:c r="G197" s="35"/>
      <x:c r="H197" s="35"/>
      <x:c r="I197" s="35"/>
      <x:c r="J197" s="35"/>
      <x:c r="K197" s="34"/>
      <x:c r="L197" s="34"/>
      <x:c r="M197" s="34"/>
      <x:c r="N197" s="34"/>
      <x:c r="O197" s="34"/>
      <x:c r="P197" s="34"/>
      <x:c r="Q197" s="34"/>
      <x:c r="R197" s="36" t="str">
        <x:f>IF(OR(E197="",G197=""),"",E197/G197)</x:f>
      </x:c>
      <x:c r="S197" s="36" t="str">
        <x:f>IF(OR(F197="",G197=""),"",F197/G197)</x:f>
      </x:c>
      <x:c r="T197" s="36" t="str">
        <x:f>IF(OR(H197="",I197="",J197=""),"",0.45*H197^2/(4*PI())+0.10*I197^2/(4*PI())+0.45*J197^2/(4*PI()))</x:f>
      </x:c>
      <x:c r="U197" s="36" t="str">
        <x:f>IF(G197="","",1.1*G197*100)</x:f>
      </x:c>
      <x:c r="V197" s="36" t="str">
        <x:f>IF(OR(E197="",T197="",U197=""),"",E197*T197/U197)</x:f>
      </x:c>
      <x:c r="W197" s="37" t="str">
        <x:f>IF(OR(F197="",T197="",U197=""),"",F197*T197/U197)</x:f>
      </x:c>
    </x:row>
    <x:row r="198">
      <x:c r="A198" s="32"/>
      <x:c r="B198" s="33"/>
      <x:c r="C198" s="34"/>
      <x:c r="D198" s="34"/>
      <x:c r="E198" s="35"/>
      <x:c r="F198" s="35"/>
      <x:c r="G198" s="35"/>
      <x:c r="H198" s="35"/>
      <x:c r="I198" s="35"/>
      <x:c r="J198" s="35"/>
      <x:c r="K198" s="34"/>
      <x:c r="L198" s="34"/>
      <x:c r="M198" s="34"/>
      <x:c r="N198" s="34"/>
      <x:c r="O198" s="34"/>
      <x:c r="P198" s="34"/>
      <x:c r="Q198" s="34"/>
      <x:c r="R198" s="36" t="str">
        <x:f>IF(OR(E198="",G198=""),"",E198/G198)</x:f>
      </x:c>
      <x:c r="S198" s="36" t="str">
        <x:f>IF(OR(F198="",G198=""),"",F198/G198)</x:f>
      </x:c>
      <x:c r="T198" s="36" t="str">
        <x:f>IF(OR(H198="",I198="",J198=""),"",0.45*H198^2/(4*PI())+0.10*I198^2/(4*PI())+0.45*J198^2/(4*PI()))</x:f>
      </x:c>
      <x:c r="U198" s="36" t="str">
        <x:f>IF(G198="","",1.1*G198*100)</x:f>
      </x:c>
      <x:c r="V198" s="36" t="str">
        <x:f>IF(OR(E198="",T198="",U198=""),"",E198*T198/U198)</x:f>
      </x:c>
      <x:c r="W198" s="37" t="str">
        <x:f>IF(OR(F198="",T198="",U198=""),"",F198*T198/U198)</x:f>
      </x:c>
    </x:row>
    <x:row r="199">
      <x:c r="A199" s="32"/>
      <x:c r="B199" s="33"/>
      <x:c r="C199" s="34"/>
      <x:c r="D199" s="34"/>
      <x:c r="E199" s="35"/>
      <x:c r="F199" s="35"/>
      <x:c r="G199" s="35"/>
      <x:c r="H199" s="35"/>
      <x:c r="I199" s="35"/>
      <x:c r="J199" s="35"/>
      <x:c r="K199" s="34"/>
      <x:c r="L199" s="34"/>
      <x:c r="M199" s="34"/>
      <x:c r="N199" s="34"/>
      <x:c r="O199" s="34"/>
      <x:c r="P199" s="34"/>
      <x:c r="Q199" s="34"/>
      <x:c r="R199" s="36" t="str">
        <x:f>IF(OR(E199="",G199=""),"",E199/G199)</x:f>
      </x:c>
      <x:c r="S199" s="36" t="str">
        <x:f>IF(OR(F199="",G199=""),"",F199/G199)</x:f>
      </x:c>
      <x:c r="T199" s="36" t="str">
        <x:f>IF(OR(H199="",I199="",J199=""),"",0.45*H199^2/(4*PI())+0.10*I199^2/(4*PI())+0.45*J199^2/(4*PI()))</x:f>
      </x:c>
      <x:c r="U199" s="36" t="str">
        <x:f>IF(G199="","",1.1*G199*100)</x:f>
      </x:c>
      <x:c r="V199" s="36" t="str">
        <x:f>IF(OR(E199="",T199="",U199=""),"",E199*T199/U199)</x:f>
      </x:c>
      <x:c r="W199" s="37" t="str">
        <x:f>IF(OR(F199="",T199="",U199=""),"",F199*T199/U199)</x:f>
      </x:c>
    </x:row>
    <x:row r="200">
      <x:c r="A200" s="32"/>
      <x:c r="B200" s="33"/>
      <x:c r="C200" s="34"/>
      <x:c r="D200" s="34"/>
      <x:c r="E200" s="35"/>
      <x:c r="F200" s="35"/>
      <x:c r="G200" s="35"/>
      <x:c r="H200" s="35"/>
      <x:c r="I200" s="35"/>
      <x:c r="J200" s="35"/>
      <x:c r="K200" s="34"/>
      <x:c r="L200" s="34"/>
      <x:c r="M200" s="34"/>
      <x:c r="N200" s="34"/>
      <x:c r="O200" s="34"/>
      <x:c r="P200" s="34"/>
      <x:c r="Q200" s="34"/>
      <x:c r="R200" s="36" t="str">
        <x:f>IF(OR(E200="",G200=""),"",E200/G200)</x:f>
      </x:c>
      <x:c r="S200" s="36" t="str">
        <x:f>IF(OR(F200="",G200=""),"",F200/G200)</x:f>
      </x:c>
      <x:c r="T200" s="36" t="str">
        <x:f>IF(OR(H200="",I200="",J200=""),"",0.45*H200^2/(4*PI())+0.10*I200^2/(4*PI())+0.45*J200^2/(4*PI()))</x:f>
      </x:c>
      <x:c r="U200" s="36" t="str">
        <x:f>IF(G200="","",1.1*G200*100)</x:f>
      </x:c>
      <x:c r="V200" s="36" t="str">
        <x:f>IF(OR(E200="",T200="",U200=""),"",E200*T200/U200)</x:f>
      </x:c>
      <x:c r="W200" s="37" t="str">
        <x:f>IF(OR(F200="",T200="",U200=""),"",F200*T200/U200)</x:f>
      </x:c>
    </x:row>
    <x:row r="201">
      <x:c r="A201" s="38"/>
      <x:c r="B201" s="39"/>
      <x:c r="C201" s="40"/>
      <x:c r="D201" s="40"/>
      <x:c r="E201" s="41"/>
      <x:c r="F201" s="41"/>
      <x:c r="G201" s="41"/>
      <x:c r="H201" s="41"/>
      <x:c r="I201" s="41"/>
      <x:c r="J201" s="41"/>
      <x:c r="K201" s="40"/>
      <x:c r="L201" s="40"/>
      <x:c r="M201" s="40"/>
      <x:c r="N201" s="40"/>
      <x:c r="O201" s="40"/>
      <x:c r="P201" s="40"/>
      <x:c r="Q201" s="40"/>
      <x:c r="R201" s="42" t="str">
        <x:f>IF(OR(E201="",G201=""),"",E201/G201)</x:f>
      </x:c>
      <x:c r="S201" s="42" t="str">
        <x:f>IF(OR(F201="",G201=""),"",F201/G201)</x:f>
      </x:c>
      <x:c r="T201" s="42" t="str">
        <x:f>IF(OR(H201="",I201="",J201=""),"",0.45*H201^2/(4*PI())+0.10*I201^2/(4*PI())+0.45*J201^2/(4*PI()))</x:f>
      </x:c>
      <x:c r="U201" s="42" t="str">
        <x:f>IF(G201="","",1.1*G201*100)</x:f>
      </x:c>
      <x:c r="V201" s="42" t="str">
        <x:f>IF(OR(E201="",T201="",U201=""),"",E201*T201/U201)</x:f>
      </x:c>
      <x:c r="W201" s="43" t="str">
        <x:f>IF(OR(F201="",T201="",U201=""),"",F201*T201/U201)</x:f>
      </x:c>
    </x:row>
  </x:sheetData>
  <x:dataValidations count="3">
    <x:dataValidation type="list" sqref="K2:K201">
      <x:formula1>"M,F"</x:formula1>
    </x:dataValidation>
    <x:dataValidation type="list" sqref="O2:O201">
      <x:formula1>"Healthy,Sport,Clinical,Other"</x:formula1>
    </x:dataValidation>
    <x:dataValidation type="list" sqref="Q2:Q201">
      <x:formula1>"circle,square,diamond,triangle"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1ba319eadd4af9"/>
  </x:tableParts>
</x:worksheet>
</file>