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1b30dfdff24b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-me" sheetId="1" r:id="R72a3589d07b0471e"/>
    <x:sheet xmlns:r="http://schemas.openxmlformats.org/officeDocument/2006/relationships" name="Dados" sheetId="2" r:id="R20385d77238041c5"/>
    <x:sheet xmlns:r="http://schemas.openxmlformats.org/officeDocument/2006/relationships" name="Cores e simbolos" sheetId="3" r:id="R99472068413849ea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56" formatCode="&quot;上午/下午 &quot;hh&quot;時&quot;mm&quot;分&quot;ss&quot;秒 &quot;"/>
    <x:numFmt numFmtId="200" formatCode="0"/>
    <x:numFmt numFmtId="201" formatCode="0.00"/>
  </x:numFmts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b290c216754fe2" /><Relationship Type="http://schemas.openxmlformats.org/officeDocument/2006/relationships/theme" Target="/xl/theme/theme1.xml" Id="Rb38bee59337b4cdd" /><Relationship Type="http://schemas.openxmlformats.org/officeDocument/2006/relationships/sheetMetadata" Target="/xl/metadata1.xml" Id="R3c1da9b590bd450f" /><Relationship Type="http://schemas.openxmlformats.org/officeDocument/2006/relationships/sharedStrings" Target="/xl/sharedStrings.xml" Id="R5828aec59b4a4839" /><Relationship Type="http://schemas.openxmlformats.org/officeDocument/2006/relationships/worksheet" Target="/xl/worksheets/sheet1.xml" Id="R72a3589d07b0471e" /><Relationship Type="http://schemas.openxmlformats.org/officeDocument/2006/relationships/worksheet" Target="/xl/worksheets/sheet2.xml" Id="R20385d77238041c5" /><Relationship Type="http://schemas.openxmlformats.org/officeDocument/2006/relationships/worksheet" Target="/xl/worksheets/sheet3.xml" Id="R99472068413849e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cols>
    <x:col min="1" max="1" width="34.83203125" customWidth="1"/>
    <x:col min="2" max="2" width="70.83203125" customWidth="1"/>
  </x:cols>
  <x:sheetData>
    <x:row r="1">
      <x:c r="A1" t="str">
        <x:v>BIVA2.0 — Modelo de importação em lote</x:v>
      </x:c>
      <x:c r="B1" t="str"/>
    </x:row>
    <x:row r="2">
      <x:c r="A2" t="str"/>
      <x:c r="B2" t="str"/>
    </x:row>
    <x:row r="3">
      <x:c r="A3" t="str">
        <x:v>COMO USAR</x:v>
      </x:c>
      <x:c r="B3" t="str"/>
    </x:row>
    <x:row r="4">
      <x:c r="A4" t="str">
        <x:v>1. Preencha a aba "Dados" — uma linha por medida.</x:v>
      </x:c>
      <x:c r="B4" t="str"/>
    </x:row>
    <x:row r="5">
      <x:c r="A5" t="str">
        <x:v>2. Linhas com o mesmo "Grupo" formam uma elipse de confiança (mínimo 3 participantes por grupo).</x:v>
      </x:c>
      <x:c r="B5" t="str"/>
    </x:row>
    <x:row r="6">
      <x:c r="A6" t="str">
        <x:v>3. Preencha "Participante" e "Tempo" (T1, T2…) para ligar medidas longitudinais na tolerância.</x:v>
      </x:c>
      <x:c r="B6" t="str"/>
    </x:row>
    <x:row r="7">
      <x:c r="A7" t="str">
        <x:v>4. Salve o arquivo e importe pelo botão "Importar Excel" no BIVA2.0.</x:v>
      </x:c>
      <x:c r="B7" t="str"/>
    </x:row>
    <x:row r="8">
      <x:c r="A8" t="str"/>
      <x:c r="B8" t="str"/>
    </x:row>
    <x:row r="9">
      <x:c r="A9" t="str">
        <x:v>CAMPOS OBRIGATÓRIOS</x:v>
      </x:c>
      <x:c r="B9" t="str"/>
    </x:row>
    <x:row r="10">
      <x:c r="A10" t="str">
        <x:v>Grupo</x:v>
      </x:c>
      <x:c r="B10" t="str">
        <x:v>Nome do grupo/população. Linhas com o mesmo nome são agrupadas em uma elipse.</x:v>
      </x:c>
    </x:row>
    <x:row r="11">
      <x:c r="A11" t="str">
        <x:v>R_ohm</x:v>
      </x:c>
      <x:c r="B11" t="str">
        <x:v>Resistência bruta medida (Ω), 50 kHz.</x:v>
      </x:c>
    </x:row>
    <x:row r="12">
      <x:c r="A12" t="str">
        <x:v>Xc_ohm</x:v>
      </x:c>
      <x:c r="B12" t="str">
        <x:v>Reatância bruta medida (Ω), 50 kHz.</x:v>
      </x:c>
    </x:row>
    <x:row r="13">
      <x:c r="A13" t="str"/>
      <x:c r="B13" t="str"/>
    </x:row>
    <x:row r="14">
      <x:c r="A14" t="str">
        <x:v>CAMPOS RECOMENDADOS</x:v>
      </x:c>
      <x:c r="B14" t="str"/>
    </x:row>
    <x:row r="15">
      <x:c r="A15" t="str">
        <x:v>Participante</x:v>
      </x:c>
      <x:c r="B15" t="str">
        <x:v>Identificador individual (ex: P01). Necessário para trajetórias longitudinais.</x:v>
      </x:c>
    </x:row>
    <x:row r="16">
      <x:c r="A16" t="str">
        <x:v>Tempo</x:v>
      </x:c>
      <x:c r="B16" t="str">
        <x:v>Rótulo do momento da medida (ex: T1, T2, Basal, 3 meses).</x:v>
      </x:c>
    </x:row>
    <x:row r="17">
      <x:c r="A17" t="str">
        <x:v>H_m</x:v>
      </x:c>
      <x:c r="B17" t="str">
        <x:v>Estatura em metros. Necessária para R/H e Xc/H (BIVA clássica).</x:v>
      </x:c>
    </x:row>
    <x:row r="18">
      <x:c r="A18" t="str">
        <x:v>Sexo</x:v>
      </x:c>
      <x:c r="B18" t="str">
        <x:v>M ou F.</x:v>
      </x:c>
    </x:row>
    <x:row r="19">
      <x:c r="A19" t="str">
        <x:v>Idade, Pais, Equipamento</x:v>
      </x:c>
      <x:c r="B19" t="str">
        <x:v>Metadados descritivos — não entram no cálculo.</x:v>
      </x:c>
    </x:row>
    <x:row r="20">
      <x:c r="A20" t="str"/>
      <x:c r="B20" t="str"/>
    </x:row>
    <x:row r="21">
      <x:c r="A21" t="str">
        <x:v>CAMPOS PARA BIVA ESPECÍFICA (opcional)</x:v>
      </x:c>
      <x:c r="B21" t="str"/>
    </x:row>
    <x:row r="22">
      <x:c r="A22" t="str">
        <x:v>Braco_direito_cm</x:v>
      </x:c>
      <x:c r="B22" t="str">
        <x:v>Perímetro do braço direito (cm), sem contração.</x:v>
      </x:c>
    </x:row>
    <x:row r="23">
      <x:c r="A23" t="str">
        <x:v>Cintura_cm</x:v>
      </x:c>
      <x:c r="B23" t="str">
        <x:v>Perímetro da cintura (cm).</x:v>
      </x:c>
    </x:row>
    <x:row r="24">
      <x:c r="A24" t="str">
        <x:v>Panturrilha_direita_cm</x:v>
      </x:c>
      <x:c r="B24" t="str">
        <x:v>Perímetro da panturrilha direita (cm).</x:v>
      </x:c>
    </x:row>
    <x:row r="25">
      <x:c r="A25" t="str"/>
      <x:c r="B25" t="str"/>
    </x:row>
    <x:row r="26">
      <x:c r="A26" t="str">
        <x:v>CAMPOS CALCULADOS — não edite, já têm fórmula</x:v>
      </x:c>
      <x:c r="B26" t="str"/>
    </x:row>
    <x:row r="27">
      <x:c r="A27" t="str">
        <x:v>R_H, Xc_H</x:v>
      </x:c>
      <x:c r="B27" t="str">
        <x:v>R/estatura e Xc/estatura — usados na BIVA clássica.</x:v>
      </x:c>
    </x:row>
    <x:row r="28">
      <x:c r="A28" t="str">
        <x:v>Area_corporal_cm2, L_cm</x:v>
      </x:c>
      <x:c r="B28" t="str">
        <x:v>Variáveis geométricas intermediárias da BIVA específica.</x:v>
      </x:c>
    </x:row>
    <x:row r="29">
      <x:c r="A29" t="str">
        <x:v>Rsp, Xcsp</x:v>
      </x:c>
      <x:c r="B29" t="str">
        <x:v>Resistência e reatância específicas — usadas na BIVA específica.</x:v>
      </x:c>
    </x:row>
    <x:row r="30">
      <x:c r="A30" t="str"/>
      <x:c r="B30" t="str"/>
    </x:row>
    <x:row r="31">
      <x:c r="A31" t="str">
        <x:v>CAMPOS DE ESTILO (opcional)</x:v>
      </x:c>
      <x:c r="B31" t="str"/>
    </x:row>
    <x:row r="32">
      <x:c r="A32" t="str">
        <x:v>Cor</x:v>
      </x:c>
      <x:c r="B32" t="str">
        <x:v>Cor hexadecimal da elipse/ponto (ex: #2F4FD6). Veja sugestões na aba "Cores e símbolos".</x:v>
      </x:c>
    </x:row>
    <x:row r="33">
      <x:c r="A33" t="str">
        <x:v>Simbolo</x:v>
      </x:c>
      <x:c r="B33" t="str">
        <x:v>Forma do marcador do indivíduo: circle, square, diamond ou triangle.</x:v>
      </x:c>
    </x:row>
    <x:row r="34">
      <x:c r="A34" t="str"/>
      <x:c r="B34" t="str"/>
    </x:row>
    <x:row r="35">
      <x:c r="A35" t="str">
        <x:v>DICAS</x:v>
      </x:c>
      <x:c r="B35" t="str"/>
    </x:row>
    <x:row r="36">
      <x:c r="A36" t="str">
        <x:v>• N é recalculado automaticamente pelas linhas válidas — preencher é opcional.</x:v>
      </x:c>
      <x:c r="B36" t="str"/>
    </x:row>
    <x:row r="37">
      <x:c r="A37" t="str">
        <x:v>• Grupos com menos de 3 participantes válidos são ignorados na importação.</x:v>
      </x:c>
      <x:c r="B37" t="str"/>
    </x:row>
    <x:row r="38">
      <x:c r="A38" t="str">
        <x:v>• Linhas sem R_ohm ou Xc_ohm são ignoradas.</x:v>
      </x:c>
      <x:c r="B38" t="str"/>
    </x:row>
    <x:row r="41">
      <x:c r="A41" t="str">
        <x:v>BIVA2.0 — Batch import template</x:v>
      </x:c>
      <x:c r="B41"/>
    </x:row>
    <x:row r="42">
      <x:c r="A42"/>
      <x:c r="B42"/>
    </x:row>
    <x:row r="43">
      <x:c r="A43" t="str">
        <x:v>HOW TO USE</x:v>
      </x:c>
      <x:c r="B43"/>
    </x:row>
    <x:row r="44">
      <x:c r="A44" t="str">
        <x:v>1. Fill in the "Dados" sheet — one row per measurement.</x:v>
      </x:c>
      <x:c r="B44"/>
    </x:row>
    <x:row r="45">
      <x:c r="A45" t="str">
        <x:v>2. Rows with the same "Grupo" form one confidence ellipse (minimum 3 participants per group).</x:v>
      </x:c>
      <x:c r="B45"/>
    </x:row>
    <x:row r="46">
      <x:c r="A46" t="str">
        <x:v>3. Fill in "Participante" and "Tempo" (T1, T2…) to connect longitudinal tolerance measurements.</x:v>
      </x:c>
      <x:c r="B46"/>
    </x:row>
    <x:row r="47">
      <x:c r="A47" t="str">
        <x:v>4. Save the file and import it using the "Importar Excel" button in BIVA2.0.</x:v>
      </x:c>
      <x:c r="B47"/>
    </x:row>
    <x:row r="48">
      <x:c r="A48"/>
      <x:c r="B48"/>
    </x:row>
    <x:row r="49">
      <x:c r="A49" t="str">
        <x:v>REQUIRED FIELDS</x:v>
      </x:c>
      <x:c r="B49"/>
    </x:row>
    <x:row r="50">
      <x:c r="A50" t="str">
        <x:v>Grupo</x:v>
      </x:c>
      <x:c r="B50" t="str">
        <x:v>Group/population name. Rows with the same name are grouped into one ellipse.</x:v>
      </x:c>
    </x:row>
    <x:row r="51">
      <x:c r="A51" t="str">
        <x:v>R_ohm</x:v>
      </x:c>
      <x:c r="B51" t="str">
        <x:v>Raw resistance measured at 50 kHz (Ω).</x:v>
      </x:c>
    </x:row>
    <x:row r="52">
      <x:c r="A52" t="str">
        <x:v>Xc_ohm</x:v>
      </x:c>
      <x:c r="B52" t="str">
        <x:v>Raw reactance measured at 50 kHz (Ω).</x:v>
      </x:c>
    </x:row>
    <x:row r="53">
      <x:c r="A53"/>
      <x:c r="B53"/>
    </x:row>
    <x:row r="54">
      <x:c r="A54" t="str">
        <x:v>RECOMMENDED FIELDS</x:v>
      </x:c>
      <x:c r="B54"/>
    </x:row>
    <x:row r="55">
      <x:c r="A55" t="str">
        <x:v>Participante</x:v>
      </x:c>
      <x:c r="B55" t="str">
        <x:v>Individual identifier (for example, P01). Required for longitudinal trajectories.</x:v>
      </x:c>
    </x:row>
    <x:row r="56">
      <x:c r="A56" t="str">
        <x:v>Tempo</x:v>
      </x:c>
      <x:c r="B56" t="str">
        <x:v>Measurement time label (for example, T1, T2, Baseline, 3 months).</x:v>
      </x:c>
    </x:row>
    <x:row r="57">
      <x:c r="A57" t="str">
        <x:v>H_m</x:v>
      </x:c>
      <x:c r="B57" t="str">
        <x:v>Height in metres. Required for R/H and Xc/H (classic BIVA).</x:v>
      </x:c>
    </x:row>
    <x:row r="58">
      <x:c r="A58" t="str">
        <x:v>Sexo</x:v>
      </x:c>
      <x:c r="B58" t="str">
        <x:v>M or F.</x:v>
      </x:c>
    </x:row>
    <x:row r="59">
      <x:c r="A59" t="str">
        <x:v>Idade, Pais, Equipamento</x:v>
      </x:c>
      <x:c r="B59" t="str">
        <x:v>Descriptive metadata — not included in the calculation.</x:v>
      </x:c>
    </x:row>
    <x:row r="60">
      <x:c r="A60"/>
      <x:c r="B60"/>
    </x:row>
    <x:row r="61">
      <x:c r="A61" t="str">
        <x:v>FIELDS FOR SPECIFIC BIVA (optional)</x:v>
      </x:c>
      <x:c r="B61"/>
    </x:row>
    <x:row r="62">
      <x:c r="A62" t="str">
        <x:v>Braco_direito_cm</x:v>
      </x:c>
      <x:c r="B62" t="str">
        <x:v>Right arm circumference (cm), without contraction.</x:v>
      </x:c>
    </x:row>
    <x:row r="63">
      <x:c r="A63" t="str">
        <x:v>Cintura_cm</x:v>
      </x:c>
      <x:c r="B63" t="str">
        <x:v>Waist circumference (cm).</x:v>
      </x:c>
    </x:row>
    <x:row r="64">
      <x:c r="A64" t="str">
        <x:v>Panturrilha_direita_cm</x:v>
      </x:c>
      <x:c r="B64" t="str">
        <x:v>Right calf circumference (cm).</x:v>
      </x:c>
    </x:row>
    <x:row r="65">
      <x:c r="A65"/>
      <x:c r="B65"/>
    </x:row>
    <x:row r="66">
      <x:c r="A66" t="str">
        <x:v>CALCULATED FIELDS — do not edit; formulas are already included</x:v>
      </x:c>
      <x:c r="B66"/>
    </x:row>
    <x:row r="67">
      <x:c r="A67" t="str">
        <x:v>R_H, Xc_H</x:v>
      </x:c>
      <x:c r="B67" t="str">
        <x:v>R/height and Xc/height — used in classic BIVA.</x:v>
      </x:c>
    </x:row>
    <x:row r="68">
      <x:c r="A68" t="str">
        <x:v>Area_corporal_cm2, L_cm</x:v>
      </x:c>
      <x:c r="B68" t="str">
        <x:v>Intermediate geometric variables for specific BIVA.</x:v>
      </x:c>
    </x:row>
    <x:row r="69">
      <x:c r="A69" t="str">
        <x:v>Rsp, Xcsp</x:v>
      </x:c>
      <x:c r="B69" t="str">
        <x:v>Specific resistance and reactance — used in specific BIVA.</x:v>
      </x:c>
    </x:row>
    <x:row r="70">
      <x:c r="A70"/>
      <x:c r="B70"/>
    </x:row>
    <x:row r="71">
      <x:c r="A71" t="str">
        <x:v>STYLE FIELDS (optional)</x:v>
      </x:c>
      <x:c r="B71"/>
    </x:row>
    <x:row r="72">
      <x:c r="A72" t="str">
        <x:v>Cor</x:v>
      </x:c>
      <x:c r="B72" t="str">
        <x:v>Hexadecimal ellipse/point colour (for example, #2F4FD6). See the "Cores e simbolos" sheet.</x:v>
      </x:c>
    </x:row>
    <x:row r="73">
      <x:c r="A73" t="str">
        <x:v>Simbolo</x:v>
      </x:c>
      <x:c r="B73" t="str">
        <x:v>Individual marker shape: circle, square, diamond, or triangle.</x:v>
      </x:c>
    </x:row>
    <x:row r="74">
      <x:c r="A74"/>
      <x:c r="B74"/>
    </x:row>
    <x:row r="75">
      <x:c r="A75" t="str">
        <x:v>TIPS</x:v>
      </x:c>
      <x:c r="B75"/>
    </x:row>
    <x:row r="76">
      <x:c r="A76" t="str">
        <x:v>• N is recalculated automatically from valid rows — completing it is optional.</x:v>
      </x:c>
      <x:c r="B76"/>
    </x:row>
    <x:row r="77">
      <x:c r="A77" t="str">
        <x:v>• Groups with fewer than 3 valid participants are ignored during import.</x:v>
      </x:c>
      <x:c r="B77"/>
    </x:row>
    <x:row r="78">
      <x:c r="A78" t="str">
        <x:v>• Rows without R_ohm or Xc_ohm are ignored.</x:v>
      </x:c>
      <x:c r="B78"/>
    </x:row>
    <x:row r="81">
      <x:c r="A81" t="str">
        <x:v>BIVA2.0 — Plantilla de importación por lotes</x:v>
      </x:c>
      <x:c r="B81"/>
    </x:row>
    <x:row r="82">
      <x:c r="A82"/>
      <x:c r="B82"/>
    </x:row>
    <x:row r="83">
      <x:c r="A83" t="str">
        <x:v>CÓMO USAR</x:v>
      </x:c>
      <x:c r="B83"/>
    </x:row>
    <x:row r="84">
      <x:c r="A84" t="str">
        <x:v>1. Complete la hoja "Dados" — una fila por medición.</x:v>
      </x:c>
      <x:c r="B84"/>
    </x:row>
    <x:row r="85">
      <x:c r="A85" t="str">
        <x:v>2. Las filas con el mismo "Grupo" forman una elipse de confianza (mínimo 3 participantes por grupo).</x:v>
      </x:c>
      <x:c r="B85"/>
    </x:row>
    <x:row r="86">
      <x:c r="A86" t="str">
        <x:v>3. Complete "Participante" y "Tempo" (T1, T2…) para conectar las mediciones longitudinales de tolerancia.</x:v>
      </x:c>
      <x:c r="B86"/>
    </x:row>
    <x:row r="87">
      <x:c r="A87" t="str">
        <x:v>4. Guarde el archivo e impórtelo con el botón "Importar Excel" de BIVA2.0.</x:v>
      </x:c>
      <x:c r="B87"/>
    </x:row>
    <x:row r="88">
      <x:c r="A88"/>
      <x:c r="B88"/>
    </x:row>
    <x:row r="89">
      <x:c r="A89" t="str">
        <x:v>CAMPOS OBLIGATORIOS</x:v>
      </x:c>
      <x:c r="B89"/>
    </x:row>
    <x:row r="90">
      <x:c r="A90" t="str">
        <x:v>Grupo</x:v>
      </x:c>
      <x:c r="B90" t="str">
        <x:v>Nombre del grupo/población. Las filas con el mismo nombre se agrupan en una elipse.</x:v>
      </x:c>
    </x:row>
    <x:row r="91">
      <x:c r="A91" t="str">
        <x:v>R_ohm</x:v>
      </x:c>
      <x:c r="B91" t="str">
        <x:v>Resistencia bruta medida a 50 kHz (Ω).</x:v>
      </x:c>
    </x:row>
    <x:row r="92">
      <x:c r="A92" t="str">
        <x:v>Xc_ohm</x:v>
      </x:c>
      <x:c r="B92" t="str">
        <x:v>Reactancia bruta medida a 50 kHz (Ω).</x:v>
      </x:c>
    </x:row>
    <x:row r="93">
      <x:c r="A93"/>
      <x:c r="B93"/>
    </x:row>
    <x:row r="94">
      <x:c r="A94" t="str">
        <x:v>CAMPOS RECOMENDADOS</x:v>
      </x:c>
      <x:c r="B94"/>
    </x:row>
    <x:row r="95">
      <x:c r="A95" t="str">
        <x:v>Participante</x:v>
      </x:c>
      <x:c r="B95" t="str">
        <x:v>Identificador individual (por ejemplo, P01). Necesario para las trayectorias longitudinales.</x:v>
      </x:c>
    </x:row>
    <x:row r="96">
      <x:c r="A96" t="str">
        <x:v>Tempo</x:v>
      </x:c>
      <x:c r="B96" t="str">
        <x:v>Etiqueta del momento de medición (por ejemplo, T1, T2, Basal, 3 meses).</x:v>
      </x:c>
    </x:row>
    <x:row r="97">
      <x:c r="A97" t="str">
        <x:v>H_m</x:v>
      </x:c>
      <x:c r="B97" t="str">
        <x:v>Estatura en metros. Necesaria para R/H y Xc/H (BIVA clásica).</x:v>
      </x:c>
    </x:row>
    <x:row r="98">
      <x:c r="A98" t="str">
        <x:v>Sexo</x:v>
      </x:c>
      <x:c r="B98" t="str">
        <x:v>M o F.</x:v>
      </x:c>
    </x:row>
    <x:row r="99">
      <x:c r="A99" t="str">
        <x:v>Idade, Pais, Equipamento</x:v>
      </x:c>
      <x:c r="B99" t="str">
        <x:v>Metadatos descriptivos — no se incluyen en el cálculo.</x:v>
      </x:c>
    </x:row>
    <x:row r="100">
      <x:c r="A100"/>
      <x:c r="B100"/>
    </x:row>
    <x:row r="101">
      <x:c r="A101" t="str">
        <x:v>CAMPOS PARA BIVA ESPECÍFICA (opcionales)</x:v>
      </x:c>
      <x:c r="B101"/>
    </x:row>
    <x:row r="102">
      <x:c r="A102" t="str">
        <x:v>Braco_direito_cm</x:v>
      </x:c>
      <x:c r="B102" t="str">
        <x:v>Perímetro del brazo derecho (cm), sin contracción.</x:v>
      </x:c>
    </x:row>
    <x:row r="103">
      <x:c r="A103" t="str">
        <x:v>Cintura_cm</x:v>
      </x:c>
      <x:c r="B103" t="str">
        <x:v>Perímetro de la cintura (cm).</x:v>
      </x:c>
    </x:row>
    <x:row r="104">
      <x:c r="A104" t="str">
        <x:v>Panturrilha_direita_cm</x:v>
      </x:c>
      <x:c r="B104" t="str">
        <x:v>Perímetro de la pantorrilla derecha (cm).</x:v>
      </x:c>
    </x:row>
    <x:row r="105">
      <x:c r="A105"/>
      <x:c r="B105"/>
    </x:row>
    <x:row r="106">
      <x:c r="A106" t="str">
        <x:v>CAMPOS CALCULADOS — no editar; ya contienen fórmulas</x:v>
      </x:c>
      <x:c r="B106"/>
    </x:row>
    <x:row r="107">
      <x:c r="A107" t="str">
        <x:v>R_H, Xc_H</x:v>
      </x:c>
      <x:c r="B107" t="str">
        <x:v>R/estatura y Xc/estatura — utilizados en BIVA clásica.</x:v>
      </x:c>
    </x:row>
    <x:row r="108">
      <x:c r="A108" t="str">
        <x:v>Area_corporal_cm2, L_cm</x:v>
      </x:c>
      <x:c r="B108" t="str">
        <x:v>Variables geométricas intermedias de BIVA específica.</x:v>
      </x:c>
    </x:row>
    <x:row r="109">
      <x:c r="A109" t="str">
        <x:v>Rsp, Xcsp</x:v>
      </x:c>
      <x:c r="B109" t="str">
        <x:v>Resistencia y reactancia específicas — utilizadas en BIVA específica.</x:v>
      </x:c>
    </x:row>
    <x:row r="110">
      <x:c r="A110"/>
      <x:c r="B110"/>
    </x:row>
    <x:row r="111">
      <x:c r="A111" t="str">
        <x:v>CAMPOS DE ESTILO (opcionales)</x:v>
      </x:c>
      <x:c r="B111"/>
    </x:row>
    <x:row r="112">
      <x:c r="A112" t="str">
        <x:v>Cor</x:v>
      </x:c>
      <x:c r="B112" t="str">
        <x:v>Color hexadecimal de la elipse/punto (por ejemplo, #2F4FD6). Consulte la hoja "Cores e simbolos".</x:v>
      </x:c>
    </x:row>
    <x:row r="113">
      <x:c r="A113" t="str">
        <x:v>Simbolo</x:v>
      </x:c>
      <x:c r="B113" t="str">
        <x:v>Forma del marcador individual: circle, square, diamond o triangle.</x:v>
      </x:c>
    </x:row>
    <x:row r="114">
      <x:c r="A114"/>
      <x:c r="B114"/>
    </x:row>
    <x:row r="115">
      <x:c r="A115" t="str">
        <x:v>CONSEJOS</x:v>
      </x:c>
      <x:c r="B115"/>
    </x:row>
    <x:row r="116">
      <x:c r="A116" t="str">
        <x:v>• N se recalcula automáticamente a partir de las filas válidas — completarlo es opcional.</x:v>
      </x:c>
      <x:c r="B116"/>
    </x:row>
    <x:row r="117">
      <x:c r="A117" t="str">
        <x:v>• Los grupos con menos de 3 participantes válidos se ignoran durante la importación.</x:v>
      </x:c>
      <x:c r="B117"/>
    </x:row>
    <x:row r="118">
      <x:c r="A118" t="str">
        <x:v>• Las filas sin R_ohm o Xc_ohm se ignoran.</x:v>
      </x:c>
      <x:c r="B118"/>
    </x:row>
    <x:row r="121">
      <x:c r="A121" t="str">
        <x:v>BIVA2.0 — Modello di importazione multipla</x:v>
      </x:c>
      <x:c r="B121"/>
    </x:row>
    <x:row r="122">
      <x:c r="A122"/>
      <x:c r="B122"/>
    </x:row>
    <x:row r="123">
      <x:c r="A123" t="str">
        <x:v>COME USARE IL MODELLO</x:v>
      </x:c>
      <x:c r="B123"/>
    </x:row>
    <x:row r="124">
      <x:c r="A124" t="str">
        <x:v>1. Compilare il foglio "Dados" — una riga per ogni misurazione.</x:v>
      </x:c>
      <x:c r="B124"/>
    </x:row>
    <x:row r="125">
      <x:c r="A125" t="str">
        <x:v>2. Le righe con lo stesso "Grupo" formano un'ellisse di confidenza (almeno 3 partecipanti per gruppo).</x:v>
      </x:c>
      <x:c r="B125"/>
    </x:row>
    <x:row r="126">
      <x:c r="A126" t="str">
        <x:v>3. Compilare "Participante" e "Tempo" (T1, T2…) per collegare le misurazioni longitudinali di tolleranza.</x:v>
      </x:c>
      <x:c r="B126"/>
    </x:row>
    <x:row r="127">
      <x:c r="A127" t="str">
        <x:v>4. Salvare il file e importarlo con il pulsante "Importar Excel" di BIVA2.0.</x:v>
      </x:c>
      <x:c r="B127"/>
    </x:row>
    <x:row r="128">
      <x:c r="A128"/>
      <x:c r="B128"/>
    </x:row>
    <x:row r="129">
      <x:c r="A129" t="str">
        <x:v>CAMPI OBBLIGATORI</x:v>
      </x:c>
      <x:c r="B129"/>
    </x:row>
    <x:row r="130">
      <x:c r="A130" t="str">
        <x:v>Grupo</x:v>
      </x:c>
      <x:c r="B130" t="str">
        <x:v>Nome del gruppo/popolazione. Le righe con lo stesso nome vengono raggruppate in un'ellisse.</x:v>
      </x:c>
    </x:row>
    <x:row r="131">
      <x:c r="A131" t="str">
        <x:v>R_ohm</x:v>
      </x:c>
      <x:c r="B131" t="str">
        <x:v>Resistenza grezza misurata a 50 kHz (Ω).</x:v>
      </x:c>
    </x:row>
    <x:row r="132">
      <x:c r="A132" t="str">
        <x:v>Xc_ohm</x:v>
      </x:c>
      <x:c r="B132" t="str">
        <x:v>Reattanza grezza misurata a 50 kHz (Ω).</x:v>
      </x:c>
    </x:row>
    <x:row r="133">
      <x:c r="A133"/>
      <x:c r="B133"/>
    </x:row>
    <x:row r="134">
      <x:c r="A134" t="str">
        <x:v>CAMPI CONSIGLIATI</x:v>
      </x:c>
      <x:c r="B134"/>
    </x:row>
    <x:row r="135">
      <x:c r="A135" t="str">
        <x:v>Participante</x:v>
      </x:c>
      <x:c r="B135" t="str">
        <x:v>Identificativo individuale (per esempio, P01). Necessario per le traiettorie longitudinali.</x:v>
      </x:c>
    </x:row>
    <x:row r="136">
      <x:c r="A136" t="str">
        <x:v>Tempo</x:v>
      </x:c>
      <x:c r="B136" t="str">
        <x:v>Etichetta del momento di misurazione (per esempio, T1, T2, Basale, 3 mesi).</x:v>
      </x:c>
    </x:row>
    <x:row r="137">
      <x:c r="A137" t="str">
        <x:v>H_m</x:v>
      </x:c>
      <x:c r="B137" t="str">
        <x:v>Altezza in metri. Necessaria per R/H e Xc/H (BIVA classica).</x:v>
      </x:c>
    </x:row>
    <x:row r="138">
      <x:c r="A138" t="str">
        <x:v>Sexo</x:v>
      </x:c>
      <x:c r="B138" t="str">
        <x:v>M o F.</x:v>
      </x:c>
    </x:row>
    <x:row r="139">
      <x:c r="A139" t="str">
        <x:v>Idade, Pais, Equipamento</x:v>
      </x:c>
      <x:c r="B139" t="str">
        <x:v>Metadati descrittivi — non vengono utilizzati nel calcolo.</x:v>
      </x:c>
    </x:row>
    <x:row r="140">
      <x:c r="A140"/>
      <x:c r="B140"/>
    </x:row>
    <x:row r="141">
      <x:c r="A141" t="str">
        <x:v>CAMPI PER LA BIVA SPECIFICA (facoltativi)</x:v>
      </x:c>
      <x:c r="B141"/>
    </x:row>
    <x:row r="142">
      <x:c r="A142" t="str">
        <x:v>Braco_direito_cm</x:v>
      </x:c>
      <x:c r="B142" t="str">
        <x:v>Circonferenza del braccio destro (cm), senza contrazione.</x:v>
      </x:c>
    </x:row>
    <x:row r="143">
      <x:c r="A143" t="str">
        <x:v>Cintura_cm</x:v>
      </x:c>
      <x:c r="B143" t="str">
        <x:v>Circonferenza della vita (cm).</x:v>
      </x:c>
    </x:row>
    <x:row r="144">
      <x:c r="A144" t="str">
        <x:v>Panturrilha_direita_cm</x:v>
      </x:c>
      <x:c r="B144" t="str">
        <x:v>Circonferenza del polpaccio destro (cm).</x:v>
      </x:c>
    </x:row>
    <x:row r="145">
      <x:c r="A145"/>
      <x:c r="B145"/>
    </x:row>
    <x:row r="146">
      <x:c r="A146" t="str">
        <x:v>CAMPI CALCOLATI — non modificare; le formule sono già incluse</x:v>
      </x:c>
      <x:c r="B146"/>
    </x:row>
    <x:row r="147">
      <x:c r="A147" t="str">
        <x:v>R_H, Xc_H</x:v>
      </x:c>
      <x:c r="B147" t="str">
        <x:v>R/altezza e Xc/altezza — utilizzati nella BIVA classica.</x:v>
      </x:c>
    </x:row>
    <x:row r="148">
      <x:c r="A148" t="str">
        <x:v>Area_corporal_cm2, L_cm</x:v>
      </x:c>
      <x:c r="B148" t="str">
        <x:v>Variabili geometriche intermedie della BIVA specifica.</x:v>
      </x:c>
    </x:row>
    <x:row r="149">
      <x:c r="A149" t="str">
        <x:v>Rsp, Xcsp</x:v>
      </x:c>
      <x:c r="B149" t="str">
        <x:v>Resistenza e reattanza specifiche — utilizzate nella BIVA specifica.</x:v>
      </x:c>
    </x:row>
    <x:row r="150">
      <x:c r="A150"/>
      <x:c r="B150"/>
    </x:row>
    <x:row r="151">
      <x:c r="A151" t="str">
        <x:v>CAMPI DI STILE (facoltativi)</x:v>
      </x:c>
      <x:c r="B151"/>
    </x:row>
    <x:row r="152">
      <x:c r="A152" t="str">
        <x:v>Cor</x:v>
      </x:c>
      <x:c r="B152" t="str">
        <x:v>Colore esadecimale dell'ellisse/punto (per esempio, #2F4FD6). Consultare il foglio "Cores e simbolos".</x:v>
      </x:c>
    </x:row>
    <x:row r="153">
      <x:c r="A153" t="str">
        <x:v>Simbolo</x:v>
      </x:c>
      <x:c r="B153" t="str">
        <x:v>Forma del marcatore individuale: circle, square, diamond o triangle.</x:v>
      </x:c>
    </x:row>
    <x:row r="154">
      <x:c r="A154"/>
      <x:c r="B154"/>
    </x:row>
    <x:row r="155">
      <x:c r="A155" t="str">
        <x:v>SUGGERIMENTI</x:v>
      </x:c>
      <x:c r="B155"/>
    </x:row>
    <x:row r="156">
      <x:c r="A156" t="str">
        <x:v>• N viene ricalcolato automaticamente dalle righe valide — la compilazione è facoltativa.</x:v>
      </x:c>
      <x:c r="B156"/>
    </x:row>
    <x:row r="157">
      <x:c r="A157" t="str">
        <x:v>• I gruppi con meno di 3 partecipanti validi vengono ignorati durante l'importazione.</x:v>
      </x:c>
      <x:c r="B157"/>
    </x:row>
    <x:row r="158">
      <x:c r="A158" t="str">
        <x:v>• Le righe senza R_ohm o Xc_ohm vengono ignorate.</x:v>
      </x:c>
      <x:c r="B158"/>
    </x:row>
  </x:sheetData>
  <x:mergeCells>
    <x:mergeCell ref="A1:B1"/>
    <x:mergeCell ref="A3:B3"/>
    <x:mergeCell ref="A9:B9"/>
    <x:mergeCell ref="A14:B14"/>
    <x:mergeCell ref="A20:B20"/>
    <x:mergeCell ref="A25:B25"/>
    <x:mergeCell ref="A30:B30"/>
    <x:mergeCell ref="A34:B34"/>
    <x:mergeCell ref="A41:B41"/>
    <x:mergeCell ref="A43:B43"/>
    <x:mergeCell ref="A49:B49"/>
    <x:mergeCell ref="A54:B54"/>
    <x:mergeCell ref="A61:B61"/>
    <x:mergeCell ref="A66:B66"/>
    <x:mergeCell ref="A71:B71"/>
    <x:mergeCell ref="A75:B75"/>
    <x:mergeCell ref="A81:B81"/>
    <x:mergeCell ref="A83:B83"/>
    <x:mergeCell ref="A89:B89"/>
    <x:mergeCell ref="A94:B94"/>
    <x:mergeCell ref="A101:B101"/>
    <x:mergeCell ref="A106:B106"/>
    <x:mergeCell ref="A111:B111"/>
    <x:mergeCell ref="A115:B115"/>
    <x:mergeCell ref="A121:B121"/>
    <x:mergeCell ref="A123:B123"/>
    <x:mergeCell ref="A129:B129"/>
    <x:mergeCell ref="A134:B134"/>
    <x:mergeCell ref="A141:B141"/>
    <x:mergeCell ref="A146:B146"/>
    <x:mergeCell ref="A151:B151"/>
    <x:mergeCell ref="A155:B15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cols>
    <x:col min="1" max="1" width="11.83203125" customWidth="1"/>
    <x:col min="2" max="2" width="5.83203125" customWidth="1"/>
    <x:col min="3" max="3" width="13.83203125" customWidth="1"/>
    <x:col min="4" max="4" width="7.83203125" customWidth="1"/>
    <x:col min="5" max="5" width="8.83203125" customWidth="1"/>
    <x:col min="6" max="6" width="8.83203125" customWidth="1"/>
    <x:col min="7" max="7" width="6.83203125" customWidth="1"/>
    <x:col min="8" max="8" width="18.83203125" customWidth="1"/>
    <x:col min="9" max="9" width="11.83203125" customWidth="1"/>
    <x:col min="10" max="10" width="20.83203125" customWidth="1"/>
    <x:col min="11" max="11" width="6.83203125" customWidth="1"/>
    <x:col min="12" max="12" width="6.83203125" customWidth="1"/>
    <x:col min="13" max="13" width="10.83203125" customWidth="1"/>
    <x:col min="14" max="14" width="15.83203125" customWidth="1"/>
    <x:col min="15" max="15" width="11.83203125" customWidth="1"/>
    <x:col min="16" max="16" width="9.83203125" customWidth="1"/>
    <x:col min="17" max="17" width="9.83203125" customWidth="1"/>
    <x:col min="18" max="18" width="9.83203125" customWidth="1"/>
    <x:col min="19" max="19" width="9.83203125" customWidth="1"/>
    <x:col min="20" max="20" width="16.83203125" customWidth="1"/>
    <x:col min="21" max="21" width="8.83203125" customWidth="1"/>
    <x:col min="22" max="22" width="9.83203125" customWidth="1"/>
    <x:col min="23" max="23" width="9.83203125" customWidth="1"/>
  </x:cols>
  <x:sheetData>
    <x:row r="1" ht="20" customHeight="1">
      <x:c r="A1" t="str">
        <x:v>Grupo</x:v>
      </x:c>
      <x:c r="B1" t="str">
        <x:v>N</x:v>
      </x:c>
      <x:c r="C1" t="str">
        <x:v>Participante</x:v>
      </x:c>
      <x:c r="D1" t="str">
        <x:v>Tempo</x:v>
      </x:c>
      <x:c r="E1" t="str">
        <x:v>R_ohm</x:v>
      </x:c>
      <x:c r="F1" t="str">
        <x:v>Xc_ohm</x:v>
      </x:c>
      <x:c r="G1" t="str">
        <x:v>H_m</x:v>
      </x:c>
      <x:c r="H1" t="str">
        <x:v>Braco_direito_cm</x:v>
      </x:c>
      <x:c r="I1" t="str">
        <x:v>Cintura_cm</x:v>
      </x:c>
      <x:c r="J1" t="str">
        <x:v>Panturrilha_direita_cm</x:v>
      </x:c>
      <x:c r="K1" t="str">
        <x:v>Sexo</x:v>
      </x:c>
      <x:c r="L1" t="str">
        <x:v>Idade</x:v>
      </x:c>
      <x:c r="M1" t="str">
        <x:v>Pais</x:v>
      </x:c>
      <x:c r="N1" t="str">
        <x:v>Equipamento</x:v>
      </x:c>
      <x:c r="O1" t="str">
        <x:v>Populacao</x:v>
      </x:c>
      <x:c r="P1" t="str">
        <x:v>Cor</x:v>
      </x:c>
      <x:c r="Q1" t="str">
        <x:v>Simbolo</x:v>
      </x:c>
      <x:c r="R1" t="str">
        <x:v>R_H</x:v>
      </x:c>
      <x:c r="S1" t="str">
        <x:v>Xc_H</x:v>
      </x:c>
      <x:c r="T1" t="str">
        <x:v>Area_corporal_cm2</x:v>
      </x:c>
      <x:c r="U1" t="str">
        <x:v>L_cm</x:v>
      </x:c>
      <x:c r="V1" t="str">
        <x:v>Rsp</x:v>
      </x:c>
      <x:c r="W1" t="str">
        <x:v>Xcsp</x:v>
      </x:c>
    </x:row>
    <x:row r="2">
      <x:c r="A2" t="str">
        <x:v>Grupo A</x:v>
      </x:c>
      <x:c r="B2">
        <x:v>3</x:v>
      </x:c>
      <x:c r="C2" t="str">
        <x:v>A01</x:v>
      </x:c>
      <x:c r="D2" t="str">
        <x:v>T1</x:v>
      </x:c>
      <x:c r="E2">
        <x:v>520</x:v>
      </x:c>
      <x:c r="F2">
        <x:v>55</x:v>
      </x:c>
      <x:c r="G2">
        <x:v>1.75</x:v>
      </x:c>
      <x:c r="H2">
        <x:v>31</x:v>
      </x:c>
      <x:c r="I2">
        <x:v>86</x:v>
      </x:c>
      <x:c r="J2">
        <x:v>38</x:v>
      </x:c>
      <x:c r="K2" t="str">
        <x:v>M</x:v>
      </x:c>
      <x:c r="L2">
        <x:v>34</x:v>
      </x:c>
      <x:c r="M2" t="str">
        <x:v>Brasil</x:v>
      </x:c>
      <x:c r="N2" t="str">
        <x:v>Exemplo 50 kHz</x:v>
      </x:c>
      <x:c r="O2" t="str">
        <x:v>Healthy</x:v>
      </x:c>
      <x:c r="P2" t="str">
        <x:v>#2F4FD6</x:v>
      </x:c>
      <x:c r="Q2" t="str">
        <x:v>circle</x:v>
      </x:c>
      <x:c r="R2" t="n">
        <x:f>IF(OR(E2="",G2=""),"",E2/G2)</x:f>
        <x:v>297.14285714285717</x:v>
      </x:c>
      <x:c r="S2" t="n">
        <x:f>IF(OR(F2="",G2=""),"",F2/G2)</x:f>
        <x:v>31.428571428571427</x:v>
      </x:c>
      <x:c r="T2" t="n">
        <x:f>IF(OR(H2="",I2="",J2=""),"",0.45*H2^2/(4*PI())+0.10*I2^2/(4*PI())+0.45*J2^2/(4*PI()))</x:f>
        <x:v>144.97821653598476</x:v>
      </x:c>
      <x:c r="U2" t="n">
        <x:f>IF(G2="","",1.1*G2*100)</x:f>
        <x:v>192.50000000000003</x:v>
      </x:c>
      <x:c r="V2" t="n">
        <x:f>IF(OR(E2="",T2="",U2=""),"",E2*T2/U2)</x:f>
        <x:v>391.62946804525745</x:v>
      </x:c>
      <x:c r="W2" t="n">
        <x:f>IF(OR(F2="",T2="",U2=""),"",F2*T2/U2)</x:f>
        <x:v>41.42234758170992</x:v>
      </x:c>
    </x:row>
    <x:row r="3">
      <x:c r="A3" t="str">
        <x:v>Grupo A</x:v>
      </x:c>
      <x:c r="B3">
        <x:v>3</x:v>
      </x:c>
      <x:c r="C3" t="str">
        <x:v>A02</x:v>
      </x:c>
      <x:c r="D3" t="str">
        <x:v>T1</x:v>
      </x:c>
      <x:c r="E3">
        <x:v>495</x:v>
      </x:c>
      <x:c r="F3">
        <x:v>52</x:v>
      </x:c>
      <x:c r="G3">
        <x:v>1.69</x:v>
      </x:c>
      <x:c r="H3">
        <x:v>29</x:v>
      </x:c>
      <x:c r="I3">
        <x:v>82</x:v>
      </x:c>
      <x:c r="J3">
        <x:v>36</x:v>
      </x:c>
      <x:c r="K3" t="str">
        <x:v>F</x:v>
      </x:c>
      <x:c r="L3">
        <x:v>31</x:v>
      </x:c>
      <x:c r="M3" t="str">
        <x:v>Brasil</x:v>
      </x:c>
      <x:c r="N3" t="str">
        <x:v>Exemplo 50 kHz</x:v>
      </x:c>
      <x:c r="O3" t="str">
        <x:v>Healthy</x:v>
      </x:c>
      <x:c r="P3" t="str">
        <x:v>#2F4FD6</x:v>
      </x:c>
      <x:c r="Q3" t="str">
        <x:v>circle</x:v>
      </x:c>
      <x:c r="R3" t="n">
        <x:f>IF(OR(E3="",G3=""),"",E3/G3)</x:f>
        <x:v>292.89940828402365</x:v>
      </x:c>
      <x:c r="S3" t="n">
        <x:f>IF(OR(F3="",G3=""),"",F3/G3)</x:f>
        <x:v>30.76923076923077</x:v>
      </x:c>
      <x:c r="T3" t="n">
        <x:f>IF(OR(H3="",I3="",J3=""),"",0.45*H3^2/(4*PI())+0.10*I3^2/(4*PI())+0.45*J3^2/(4*PI()))</x:f>
        <x:v>130.03356737965578</x:v>
      </x:c>
      <x:c r="U3" t="n">
        <x:f>IF(G3="","",1.1*G3*100)</x:f>
        <x:v>185.9</x:v>
      </x:c>
      <x:c r="V3" t="n">
        <x:f>IF(OR(E3="",T3="",U3=""),"",E3*T3/U3)</x:f>
        <x:v>346.2432267505627</x:v>
      </x:c>
      <x:c r="W3" t="n">
        <x:f>IF(OR(F3="",T3="",U3=""),"",F3*T3/U3)</x:f>
        <x:v>36.37302584046316</x:v>
      </x:c>
    </x:row>
    <x:row r="4">
      <x:c r="A4" t="str">
        <x:v>Grupo A</x:v>
      </x:c>
      <x:c r="B4">
        <x:v>3</x:v>
      </x:c>
      <x:c r="C4" t="str">
        <x:v>A03</x:v>
      </x:c>
      <x:c r="D4" t="str">
        <x:v>T1</x:v>
      </x:c>
      <x:c r="E4">
        <x:v>545</x:v>
      </x:c>
      <x:c r="F4">
        <x:v>59</x:v>
      </x:c>
      <x:c r="G4">
        <x:v>1.81</x:v>
      </x:c>
      <x:c r="H4">
        <x:v>32</x:v>
      </x:c>
      <x:c r="I4">
        <x:v>89</x:v>
      </x:c>
      <x:c r="J4">
        <x:v>39</x:v>
      </x:c>
      <x:c r="K4" t="str">
        <x:v>M</x:v>
      </x:c>
      <x:c r="L4">
        <x:v>38</x:v>
      </x:c>
      <x:c r="M4" t="str">
        <x:v>Brasil</x:v>
      </x:c>
      <x:c r="N4" t="str">
        <x:v>Exemplo 50 kHz</x:v>
      </x:c>
      <x:c r="O4" t="str">
        <x:v>Healthy</x:v>
      </x:c>
      <x:c r="P4" t="str">
        <x:v>#2F4FD6</x:v>
      </x:c>
      <x:c r="Q4" t="str">
        <x:v>circle</x:v>
      </x:c>
      <x:c r="R4" t="n">
        <x:f>IF(OR(E4="",G4=""),"",E4/G4)</x:f>
        <x:v>301.1049723756906</x:v>
      </x:c>
      <x:c r="S4" t="n">
        <x:f>IF(OR(F4="",G4=""),"",F4/G4)</x:f>
        <x:v>32.59668508287293</x:v>
      </x:c>
      <x:c r="T4" t="n">
        <x:f>IF(OR(H4="",I4="",J4=""),"",0.45*H4^2/(4*PI())+0.10*I4^2/(4*PI())+0.45*J4^2/(4*PI()))</x:f>
        <x:v>154.16941449954172</x:v>
      </x:c>
      <x:c r="U4" t="n">
        <x:f>IF(G4="","",1.1*G4*100)</x:f>
        <x:v>199.10000000000002</x:v>
      </x:c>
      <x:c r="V4" t="n">
        <x:f>IF(OR(E4="",T4="",U4=""),"",E4*T4/U4)</x:f>
        <x:v>422.0107026732809</x:v>
      </x:c>
      <x:c r="W4" t="n">
        <x:f>IF(OR(F4="",T4="",U4=""),"",F4*T4/U4)</x:f>
        <x:v>45.68556230774968</x:v>
      </x:c>
    </x:row>
    <x:row r="5">
      <x:c r="A5" t="str">
        <x:v>Grupo B</x:v>
      </x:c>
      <x:c r="B5">
        <x:v>3</x:v>
      </x:c>
      <x:c r="C5" t="str">
        <x:v>B01</x:v>
      </x:c>
      <x:c r="D5" t="str">
        <x:v>T1</x:v>
      </x:c>
      <x:c r="E5">
        <x:v>610</x:v>
      </x:c>
      <x:c r="F5">
        <x:v>48</x:v>
      </x:c>
      <x:c r="G5">
        <x:v>1.72</x:v>
      </x:c>
      <x:c r="H5">
        <x:v>34</x:v>
      </x:c>
      <x:c r="I5">
        <x:v>101</x:v>
      </x:c>
      <x:c r="J5">
        <x:v>40</x:v>
      </x:c>
      <x:c r="K5" t="str">
        <x:v>M</x:v>
      </x:c>
      <x:c r="L5">
        <x:v>58</x:v>
      </x:c>
      <x:c r="M5" t="str">
        <x:v>Brasil</x:v>
      </x:c>
      <x:c r="N5" t="str">
        <x:v>Exemplo 50 kHz</x:v>
      </x:c>
      <x:c r="O5" t="str">
        <x:v>Clinical</x:v>
      </x:c>
      <x:c r="P5" t="str">
        <x:v>#E0662A</x:v>
      </x:c>
      <x:c r="Q5" t="str">
        <x:v>square</x:v>
      </x:c>
      <x:c r="R5" t="n">
        <x:f>IF(OR(E5="",G5=""),"",E5/G5)</x:f>
        <x:v>354.6511627906977</x:v>
      </x:c>
      <x:c r="S5" t="n">
        <x:f>IF(OR(F5="",G5=""),"",F5/G5)</x:f>
        <x:v>27.906976744186046</x:v>
      </x:c>
      <x:c r="T5" t="n">
        <x:f>IF(OR(H5="",I5="",J5=""),"",0.45*H5^2/(4*PI())+0.10*I5^2/(4*PI())+0.45*J5^2/(4*PI()))</x:f>
        <x:v>179.86895893530553</x:v>
      </x:c>
      <x:c r="U5" t="n">
        <x:f>IF(G5="","",1.1*G5*100)</x:f>
        <x:v>189.20000000000002</x:v>
      </x:c>
      <x:c r="V5" t="n">
        <x:f>IF(OR(E5="",T5="",U5=""),"",E5*T5/U5)</x:f>
        <x:v>579.9157766941668</x:v>
      </x:c>
      <x:c r="W5" t="n">
        <x:f>IF(OR(F5="",T5="",U5=""),"",F5*T5/U5)</x:f>
        <x:v>45.63271685462296</x:v>
      </x:c>
    </x:row>
    <x:row r="6">
      <x:c r="A6" t="str">
        <x:v>Grupo B</x:v>
      </x:c>
      <x:c r="B6">
        <x:v>3</x:v>
      </x:c>
      <x:c r="C6" t="str">
        <x:v>B02</x:v>
      </x:c>
      <x:c r="D6" t="str">
        <x:v>T1</x:v>
      </x:c>
      <x:c r="E6">
        <x:v>585</x:v>
      </x:c>
      <x:c r="F6">
        <x:v>46</x:v>
      </x:c>
      <x:c r="G6">
        <x:v>1.66</x:v>
      </x:c>
      <x:c r="H6">
        <x:v>33</x:v>
      </x:c>
      <x:c r="I6">
        <x:v>98</x:v>
      </x:c>
      <x:c r="J6">
        <x:v>39</x:v>
      </x:c>
      <x:c r="K6" t="str">
        <x:v>F</x:v>
      </x:c>
      <x:c r="L6">
        <x:v>55</x:v>
      </x:c>
      <x:c r="M6" t="str">
        <x:v>Brasil</x:v>
      </x:c>
      <x:c r="N6" t="str">
        <x:v>Exemplo 50 kHz</x:v>
      </x:c>
      <x:c r="O6" t="str">
        <x:v>Clinical</x:v>
      </x:c>
      <x:c r="P6" t="str">
        <x:v>#E0662A</x:v>
      </x:c>
      <x:c r="Q6" t="str">
        <x:v>square</x:v>
      </x:c>
      <x:c r="R6" t="n">
        <x:f>IF(OR(E6="",G6=""),"",E6/G6)</x:f>
        <x:v>352.4096385542169</x:v>
      </x:c>
      <x:c r="S6" t="n">
        <x:f>IF(OR(F6="",G6=""),"",F6/G6)</x:f>
        <x:v>27.710843373493976</x:v>
      </x:c>
      <x:c r="T6" t="n">
        <x:f>IF(OR(H6="",I6="",J6=""),"",0.45*H6^2/(4*PI())+0.10*I6^2/(4*PI())+0.45*J6^2/(4*PI()))</x:f>
        <x:v>169.8899440034437</x:v>
      </x:c>
      <x:c r="U6" t="n">
        <x:f>IF(G6="","",1.1*G6*100)</x:f>
        <x:v>182.6</x:v>
      </x:c>
      <x:c r="V6" t="n">
        <x:f>IF(OR(E6="",T6="",U6=""),"",E6*T6/U6)</x:f>
        <x:v>544.2804887295431</x:v>
      </x:c>
      <x:c r="W6" t="n">
        <x:f>IF(OR(F6="",T6="",U6=""),"",F6*T6/U6)</x:f>
        <x:v>42.798123900100826</x:v>
      </x:c>
    </x:row>
    <x:row r="7">
      <x:c r="A7" t="str">
        <x:v>Grupo B</x:v>
      </x:c>
      <x:c r="B7">
        <x:v>3</x:v>
      </x:c>
      <x:c r="C7" t="str">
        <x:v>B03</x:v>
      </x:c>
      <x:c r="D7" t="str">
        <x:v>T1</x:v>
      </x:c>
      <x:c r="E7">
        <x:v>635</x:v>
      </x:c>
      <x:c r="F7">
        <x:v>51</x:v>
      </x:c>
      <x:c r="G7">
        <x:v>1.78</x:v>
      </x:c>
      <x:c r="H7">
        <x:v>35</x:v>
      </x:c>
      <x:c r="I7">
        <x:v>104</x:v>
      </x:c>
      <x:c r="J7">
        <x:v>41</x:v>
      </x:c>
      <x:c r="K7" t="str">
        <x:v>M</x:v>
      </x:c>
      <x:c r="L7">
        <x:v>62</x:v>
      </x:c>
      <x:c r="M7" t="str">
        <x:v>Brasil</x:v>
      </x:c>
      <x:c r="N7" t="str">
        <x:v>Exemplo 50 kHz</x:v>
      </x:c>
      <x:c r="O7" t="str">
        <x:v>Clinical</x:v>
      </x:c>
      <x:c r="P7" t="str">
        <x:v>#E0662A</x:v>
      </x:c>
      <x:c r="Q7" t="str">
        <x:v>square</x:v>
      </x:c>
      <x:c r="R7" t="n">
        <x:f>IF(OR(E7="",G7=""),"",E7/G7)</x:f>
        <x:v>356.7415730337079</x:v>
      </x:c>
      <x:c r="S7" t="n">
        <x:f>IF(OR(F7="",G7=""),"",F7/G7)</x:f>
        <x:v>28.651685393258425</x:v>
      </x:c>
      <x:c r="T7" t="n">
        <x:f>IF(OR(H7="",I7="",J7=""),"",0.45*H7^2/(4*PI())+0.10*I7^2/(4*PI())+0.45*J7^2/(4*PI()))</x:f>
        <x:v>190.1344527647328</x:v>
      </x:c>
      <x:c r="U7" t="n">
        <x:f>IF(G7="","",1.1*G7*100)</x:f>
        <x:v>195.8</x:v>
      </x:c>
      <x:c r="V7" t="n">
        <x:f>IF(OR(E7="",T7="",U7=""),"",E7*T7/U7)</x:f>
        <x:v>616.6260342472182</x:v>
      </x:c>
      <x:c r="W7" t="n">
        <x:f>IF(OR(F7="",T7="",U7=""),"",F7*T7/U7)</x:f>
        <x:v>49.52429566394981</x:v>
      </x:c>
    </x:row>
    <x:row r="8">
      <x:c r="R8" t="str">
        <x:f>IF(OR(E8="",G8=""),"",E8/G8)</x:f>
      </x:c>
      <x:c r="S8" t="str">
        <x:f>IF(OR(F8="",G8=""),"",F8/G8)</x:f>
      </x:c>
      <x:c r="T8" t="str">
        <x:f>IF(OR(H8="",I8="",J8=""),"",0.45*H8^2/(4*PI())+0.10*I8^2/(4*PI())+0.45*J8^2/(4*PI()))</x:f>
      </x:c>
      <x:c r="U8" t="str">
        <x:f>IF(G8="","",1.1*G8*100)</x:f>
      </x:c>
      <x:c r="V8" t="str">
        <x:f>IF(OR(E8="",T8="",U8=""),"",E8*T8/U8)</x:f>
      </x:c>
      <x:c r="W8" t="str">
        <x:f>IF(OR(F8="",T8="",U8=""),"",F8*T8/U8)</x:f>
      </x:c>
    </x:row>
    <x:row r="9">
      <x:c r="R9" t="str">
        <x:f>IF(OR(E9="",G9=""),"",E9/G9)</x:f>
      </x:c>
      <x:c r="S9" t="str">
        <x:f>IF(OR(F9="",G9=""),"",F9/G9)</x:f>
      </x:c>
      <x:c r="T9" t="str">
        <x:f>IF(OR(H9="",I9="",J9=""),"",0.45*H9^2/(4*PI())+0.10*I9^2/(4*PI())+0.45*J9^2/(4*PI()))</x:f>
      </x:c>
      <x:c r="U9" t="str">
        <x:f>IF(G9="","",1.1*G9*100)</x:f>
      </x:c>
      <x:c r="V9" t="str">
        <x:f>IF(OR(E9="",T9="",U9=""),"",E9*T9/U9)</x:f>
      </x:c>
      <x:c r="W9" t="str">
        <x:f>IF(OR(F9="",T9="",U9=""),"",F9*T9/U9)</x:f>
      </x:c>
    </x:row>
    <x:row r="10">
      <x:c r="R10" t="str">
        <x:f>IF(OR(E10="",G10=""),"",E10/G10)</x:f>
      </x:c>
      <x:c r="S10" t="str">
        <x:f>IF(OR(F10="",G10=""),"",F10/G10)</x:f>
      </x:c>
      <x:c r="T10" t="str">
        <x:f>IF(OR(H10="",I10="",J10=""),"",0.45*H10^2/(4*PI())+0.10*I10^2/(4*PI())+0.45*J10^2/(4*PI()))</x:f>
      </x:c>
      <x:c r="U10" t="str">
        <x:f>IF(G10="","",1.1*G10*100)</x:f>
      </x:c>
      <x:c r="V10" t="str">
        <x:f>IF(OR(E10="",T10="",U10=""),"",E10*T10/U10)</x:f>
      </x:c>
      <x:c r="W10" t="str">
        <x:f>IF(OR(F10="",T10="",U10=""),"",F10*T10/U10)</x:f>
      </x:c>
    </x:row>
    <x:row r="11">
      <x:c r="R11" t="str">
        <x:f>IF(OR(E11="",G11=""),"",E11/G11)</x:f>
      </x:c>
      <x:c r="S11" t="str">
        <x:f>IF(OR(F11="",G11=""),"",F11/G11)</x:f>
      </x:c>
      <x:c r="T11" t="str">
        <x:f>IF(OR(H11="",I11="",J11=""),"",0.45*H11^2/(4*PI())+0.10*I11^2/(4*PI())+0.45*J11^2/(4*PI()))</x:f>
      </x:c>
      <x:c r="U11" t="str">
        <x:f>IF(G11="","",1.1*G11*100)</x:f>
      </x:c>
      <x:c r="V11" t="str">
        <x:f>IF(OR(E11="",T11="",U11=""),"",E11*T11/U11)</x:f>
      </x:c>
      <x:c r="W11" t="str">
        <x:f>IF(OR(F11="",T11="",U11=""),"",F11*T11/U11)</x:f>
      </x:c>
    </x:row>
    <x:row r="12">
      <x:c r="R12" t="str">
        <x:f>IF(OR(E12="",G12=""),"",E12/G12)</x:f>
      </x:c>
      <x:c r="S12" t="str">
        <x:f>IF(OR(F12="",G12=""),"",F12/G12)</x:f>
      </x:c>
      <x:c r="T12" t="str">
        <x:f>IF(OR(H12="",I12="",J12=""),"",0.45*H12^2/(4*PI())+0.10*I12^2/(4*PI())+0.45*J12^2/(4*PI()))</x:f>
      </x:c>
      <x:c r="U12" t="str">
        <x:f>IF(G12="","",1.1*G12*100)</x:f>
      </x:c>
      <x:c r="V12" t="str">
        <x:f>IF(OR(E12="",T12="",U12=""),"",E12*T12/U12)</x:f>
      </x:c>
      <x:c r="W12" t="str">
        <x:f>IF(OR(F12="",T12="",U12=""),"",F12*T12/U12)</x:f>
      </x:c>
    </x:row>
    <x:row r="13">
      <x:c r="R13" t="str">
        <x:f>IF(OR(E13="",G13=""),"",E13/G13)</x:f>
      </x:c>
      <x:c r="S13" t="str">
        <x:f>IF(OR(F13="",G13=""),"",F13/G13)</x:f>
      </x:c>
      <x:c r="T13" t="str">
        <x:f>IF(OR(H13="",I13="",J13=""),"",0.45*H13^2/(4*PI())+0.10*I13^2/(4*PI())+0.45*J13^2/(4*PI()))</x:f>
      </x:c>
      <x:c r="U13" t="str">
        <x:f>IF(G13="","",1.1*G13*100)</x:f>
      </x:c>
      <x:c r="V13" t="str">
        <x:f>IF(OR(E13="",T13="",U13=""),"",E13*T13/U13)</x:f>
      </x:c>
      <x:c r="W13" t="str">
        <x:f>IF(OR(F13="",T13="",U13=""),"",F13*T13/U13)</x:f>
      </x:c>
    </x:row>
    <x:row r="14">
      <x:c r="R14" t="str">
        <x:f>IF(OR(E14="",G14=""),"",E14/G14)</x:f>
      </x:c>
      <x:c r="S14" t="str">
        <x:f>IF(OR(F14="",G14=""),"",F14/G14)</x:f>
      </x:c>
      <x:c r="T14" t="str">
        <x:f>IF(OR(H14="",I14="",J14=""),"",0.45*H14^2/(4*PI())+0.10*I14^2/(4*PI())+0.45*J14^2/(4*PI()))</x:f>
      </x:c>
      <x:c r="U14" t="str">
        <x:f>IF(G14="","",1.1*G14*100)</x:f>
      </x:c>
      <x:c r="V14" t="str">
        <x:f>IF(OR(E14="",T14="",U14=""),"",E14*T14/U14)</x:f>
      </x:c>
      <x:c r="W14" t="str">
        <x:f>IF(OR(F14="",T14="",U14=""),"",F14*T14/U14)</x:f>
      </x:c>
    </x:row>
    <x:row r="15">
      <x:c r="R15" t="str">
        <x:f>IF(OR(E15="",G15=""),"",E15/G15)</x:f>
      </x:c>
      <x:c r="S15" t="str">
        <x:f>IF(OR(F15="",G15=""),"",F15/G15)</x:f>
      </x:c>
      <x:c r="T15" t="str">
        <x:f>IF(OR(H15="",I15="",J15=""),"",0.45*H15^2/(4*PI())+0.10*I15^2/(4*PI())+0.45*J15^2/(4*PI()))</x:f>
      </x:c>
      <x:c r="U15" t="str">
        <x:f>IF(G15="","",1.1*G15*100)</x:f>
      </x:c>
      <x:c r="V15" t="str">
        <x:f>IF(OR(E15="",T15="",U15=""),"",E15*T15/U15)</x:f>
      </x:c>
      <x:c r="W15" t="str">
        <x:f>IF(OR(F15="",T15="",U15=""),"",F15*T15/U15)</x:f>
      </x:c>
    </x:row>
    <x:row r="16">
      <x:c r="R16" t="str">
        <x:f>IF(OR(E16="",G16=""),"",E16/G16)</x:f>
      </x:c>
      <x:c r="S16" t="str">
        <x:f>IF(OR(F16="",G16=""),"",F16/G16)</x:f>
      </x:c>
      <x:c r="T16" t="str">
        <x:f>IF(OR(H16="",I16="",J16=""),"",0.45*H16^2/(4*PI())+0.10*I16^2/(4*PI())+0.45*J16^2/(4*PI()))</x:f>
      </x:c>
      <x:c r="U16" t="str">
        <x:f>IF(G16="","",1.1*G16*100)</x:f>
      </x:c>
      <x:c r="V16" t="str">
        <x:f>IF(OR(E16="",T16="",U16=""),"",E16*T16/U16)</x:f>
      </x:c>
      <x:c r="W16" t="str">
        <x:f>IF(OR(F16="",T16="",U16=""),"",F16*T16/U16)</x:f>
      </x:c>
    </x:row>
    <x:row r="17">
      <x:c r="R17" t="str">
        <x:f>IF(OR(E17="",G17=""),"",E17/G17)</x:f>
      </x:c>
      <x:c r="S17" t="str">
        <x:f>IF(OR(F17="",G17=""),"",F17/G17)</x:f>
      </x:c>
      <x:c r="T17" t="str">
        <x:f>IF(OR(H17="",I17="",J17=""),"",0.45*H17^2/(4*PI())+0.10*I17^2/(4*PI())+0.45*J17^2/(4*PI()))</x:f>
      </x:c>
      <x:c r="U17" t="str">
        <x:f>IF(G17="","",1.1*G17*100)</x:f>
      </x:c>
      <x:c r="V17" t="str">
        <x:f>IF(OR(E17="",T17="",U17=""),"",E17*T17/U17)</x:f>
      </x:c>
      <x:c r="W17" t="str">
        <x:f>IF(OR(F17="",T17="",U17=""),"",F17*T17/U17)</x:f>
      </x:c>
    </x:row>
    <x:row r="18">
      <x:c r="R18" t="str">
        <x:f>IF(OR(E18="",G18=""),"",E18/G18)</x:f>
      </x:c>
      <x:c r="S18" t="str">
        <x:f>IF(OR(F18="",G18=""),"",F18/G18)</x:f>
      </x:c>
      <x:c r="T18" t="str">
        <x:f>IF(OR(H18="",I18="",J18=""),"",0.45*H18^2/(4*PI())+0.10*I18^2/(4*PI())+0.45*J18^2/(4*PI()))</x:f>
      </x:c>
      <x:c r="U18" t="str">
        <x:f>IF(G18="","",1.1*G18*100)</x:f>
      </x:c>
      <x:c r="V18" t="str">
        <x:f>IF(OR(E18="",T18="",U18=""),"",E18*T18/U18)</x:f>
      </x:c>
      <x:c r="W18" t="str">
        <x:f>IF(OR(F18="",T18="",U18=""),"",F18*T18/U18)</x:f>
      </x:c>
    </x:row>
    <x:row r="19">
      <x:c r="R19" t="str">
        <x:f>IF(OR(E19="",G19=""),"",E19/G19)</x:f>
      </x:c>
      <x:c r="S19" t="str">
        <x:f>IF(OR(F19="",G19=""),"",F19/G19)</x:f>
      </x:c>
      <x:c r="T19" t="str">
        <x:f>IF(OR(H19="",I19="",J19=""),"",0.45*H19^2/(4*PI())+0.10*I19^2/(4*PI())+0.45*J19^2/(4*PI()))</x:f>
      </x:c>
      <x:c r="U19" t="str">
        <x:f>IF(G19="","",1.1*G19*100)</x:f>
      </x:c>
      <x:c r="V19" t="str">
        <x:f>IF(OR(E19="",T19="",U19=""),"",E19*T19/U19)</x:f>
      </x:c>
      <x:c r="W19" t="str">
        <x:f>IF(OR(F19="",T19="",U19=""),"",F19*T19/U19)</x:f>
      </x:c>
    </x:row>
    <x:row r="20">
      <x:c r="R20" t="str">
        <x:f>IF(OR(E20="",G20=""),"",E20/G20)</x:f>
      </x:c>
      <x:c r="S20" t="str">
        <x:f>IF(OR(F20="",G20=""),"",F20/G20)</x:f>
      </x:c>
      <x:c r="T20" t="str">
        <x:f>IF(OR(H20="",I20="",J20=""),"",0.45*H20^2/(4*PI())+0.10*I20^2/(4*PI())+0.45*J20^2/(4*PI()))</x:f>
      </x:c>
      <x:c r="U20" t="str">
        <x:f>IF(G20="","",1.1*G20*100)</x:f>
      </x:c>
      <x:c r="V20" t="str">
        <x:f>IF(OR(E20="",T20="",U20=""),"",E20*T20/U20)</x:f>
      </x:c>
      <x:c r="W20" t="str">
        <x:f>IF(OR(F20="",T20="",U20=""),"",F20*T20/U20)</x:f>
      </x:c>
    </x:row>
    <x:row r="21">
      <x:c r="R21" t="str">
        <x:f>IF(OR(E21="",G21=""),"",E21/G21)</x:f>
      </x:c>
      <x:c r="S21" t="str">
        <x:f>IF(OR(F21="",G21=""),"",F21/G21)</x:f>
      </x:c>
      <x:c r="T21" t="str">
        <x:f>IF(OR(H21="",I21="",J21=""),"",0.45*H21^2/(4*PI())+0.10*I21^2/(4*PI())+0.45*J21^2/(4*PI()))</x:f>
      </x:c>
      <x:c r="U21" t="str">
        <x:f>IF(G21="","",1.1*G21*100)</x:f>
      </x:c>
      <x:c r="V21" t="str">
        <x:f>IF(OR(E21="",T21="",U21=""),"",E21*T21/U21)</x:f>
      </x:c>
      <x:c r="W21" t="str">
        <x:f>IF(OR(F21="",T21="",U21=""),"",F21*T21/U21)</x:f>
      </x:c>
    </x:row>
    <x:row r="22">
      <x:c r="R22" t="str">
        <x:f>IF(OR(E22="",G22=""),"",E22/G22)</x:f>
      </x:c>
      <x:c r="S22" t="str">
        <x:f>IF(OR(F22="",G22=""),"",F22/G22)</x:f>
      </x:c>
      <x:c r="T22" t="str">
        <x:f>IF(OR(H22="",I22="",J22=""),"",0.45*H22^2/(4*PI())+0.10*I22^2/(4*PI())+0.45*J22^2/(4*PI()))</x:f>
      </x:c>
      <x:c r="U22" t="str">
        <x:f>IF(G22="","",1.1*G22*100)</x:f>
      </x:c>
      <x:c r="V22" t="str">
        <x:f>IF(OR(E22="",T22="",U22=""),"",E22*T22/U22)</x:f>
      </x:c>
      <x:c r="W22" t="str">
        <x:f>IF(OR(F22="",T22="",U22=""),"",F22*T22/U22)</x:f>
      </x:c>
    </x:row>
    <x:row r="23">
      <x:c r="R23" t="str">
        <x:f>IF(OR(E23="",G23=""),"",E23/G23)</x:f>
      </x:c>
      <x:c r="S23" t="str">
        <x:f>IF(OR(F23="",G23=""),"",F23/G23)</x:f>
      </x:c>
      <x:c r="T23" t="str">
        <x:f>IF(OR(H23="",I23="",J23=""),"",0.45*H23^2/(4*PI())+0.10*I23^2/(4*PI())+0.45*J23^2/(4*PI()))</x:f>
      </x:c>
      <x:c r="U23" t="str">
        <x:f>IF(G23="","",1.1*G23*100)</x:f>
      </x:c>
      <x:c r="V23" t="str">
        <x:f>IF(OR(E23="",T23="",U23=""),"",E23*T23/U23)</x:f>
      </x:c>
      <x:c r="W23" t="str">
        <x:f>IF(OR(F23="",T23="",U23=""),"",F23*T23/U23)</x:f>
      </x:c>
    </x:row>
    <x:row r="24">
      <x:c r="R24" t="str">
        <x:f>IF(OR(E24="",G24=""),"",E24/G24)</x:f>
      </x:c>
      <x:c r="S24" t="str">
        <x:f>IF(OR(F24="",G24=""),"",F24/G24)</x:f>
      </x:c>
      <x:c r="T24" t="str">
        <x:f>IF(OR(H24="",I24="",J24=""),"",0.45*H24^2/(4*PI())+0.10*I24^2/(4*PI())+0.45*J24^2/(4*PI()))</x:f>
      </x:c>
      <x:c r="U24" t="str">
        <x:f>IF(G24="","",1.1*G24*100)</x:f>
      </x:c>
      <x:c r="V24" t="str">
        <x:f>IF(OR(E24="",T24="",U24=""),"",E24*T24/U24)</x:f>
      </x:c>
      <x:c r="W24" t="str">
        <x:f>IF(OR(F24="",T24="",U24=""),"",F24*T24/U24)</x:f>
      </x:c>
    </x:row>
    <x:row r="25">
      <x:c r="R25" t="str">
        <x:f>IF(OR(E25="",G25=""),"",E25/G25)</x:f>
      </x:c>
      <x:c r="S25" t="str">
        <x:f>IF(OR(F25="",G25=""),"",F25/G25)</x:f>
      </x:c>
      <x:c r="T25" t="str">
        <x:f>IF(OR(H25="",I25="",J25=""),"",0.45*H25^2/(4*PI())+0.10*I25^2/(4*PI())+0.45*J25^2/(4*PI()))</x:f>
      </x:c>
      <x:c r="U25" t="str">
        <x:f>IF(G25="","",1.1*G25*100)</x:f>
      </x:c>
      <x:c r="V25" t="str">
        <x:f>IF(OR(E25="",T25="",U25=""),"",E25*T25/U25)</x:f>
      </x:c>
      <x:c r="W25" t="str">
        <x:f>IF(OR(F25="",T25="",U25=""),"",F25*T25/U25)</x:f>
      </x:c>
    </x:row>
    <x:row r="26">
      <x:c r="R26" t="str">
        <x:f>IF(OR(E26="",G26=""),"",E26/G26)</x:f>
      </x:c>
      <x:c r="S26" t="str">
        <x:f>IF(OR(F26="",G26=""),"",F26/G26)</x:f>
      </x:c>
      <x:c r="T26" t="str">
        <x:f>IF(OR(H26="",I26="",J26=""),"",0.45*H26^2/(4*PI())+0.10*I26^2/(4*PI())+0.45*J26^2/(4*PI()))</x:f>
      </x:c>
      <x:c r="U26" t="str">
        <x:f>IF(G26="","",1.1*G26*100)</x:f>
      </x:c>
      <x:c r="V26" t="str">
        <x:f>IF(OR(E26="",T26="",U26=""),"",E26*T26/U26)</x:f>
      </x:c>
      <x:c r="W26" t="str">
        <x:f>IF(OR(F26="",T26="",U26=""),"",F26*T26/U26)</x:f>
      </x:c>
    </x:row>
    <x:row r="27">
      <x:c r="R27" t="str">
        <x:f>IF(OR(E27="",G27=""),"",E27/G27)</x:f>
      </x:c>
      <x:c r="S27" t="str">
        <x:f>IF(OR(F27="",G27=""),"",F27/G27)</x:f>
      </x:c>
      <x:c r="T27" t="str">
        <x:f>IF(OR(H27="",I27="",J27=""),"",0.45*H27^2/(4*PI())+0.10*I27^2/(4*PI())+0.45*J27^2/(4*PI()))</x:f>
      </x:c>
      <x:c r="U27" t="str">
        <x:f>IF(G27="","",1.1*G27*100)</x:f>
      </x:c>
      <x:c r="V27" t="str">
        <x:f>IF(OR(E27="",T27="",U27=""),"",E27*T27/U27)</x:f>
      </x:c>
      <x:c r="W27" t="str">
        <x:f>IF(OR(F27="",T27="",U27=""),"",F27*T27/U27)</x:f>
      </x:c>
    </x:row>
    <x:row r="28">
      <x:c r="R28" t="str">
        <x:f>IF(OR(E28="",G28=""),"",E28/G28)</x:f>
      </x:c>
      <x:c r="S28" t="str">
        <x:f>IF(OR(F28="",G28=""),"",F28/G28)</x:f>
      </x:c>
      <x:c r="T28" t="str">
        <x:f>IF(OR(H28="",I28="",J28=""),"",0.45*H28^2/(4*PI())+0.10*I28^2/(4*PI())+0.45*J28^2/(4*PI()))</x:f>
      </x:c>
      <x:c r="U28" t="str">
        <x:f>IF(G28="","",1.1*G28*100)</x:f>
      </x:c>
      <x:c r="V28" t="str">
        <x:f>IF(OR(E28="",T28="",U28=""),"",E28*T28/U28)</x:f>
      </x:c>
      <x:c r="W28" t="str">
        <x:f>IF(OR(F28="",T28="",U28=""),"",F28*T28/U28)</x:f>
      </x:c>
    </x:row>
    <x:row r="29">
      <x:c r="R29" t="str">
        <x:f>IF(OR(E29="",G29=""),"",E29/G29)</x:f>
      </x:c>
      <x:c r="S29" t="str">
        <x:f>IF(OR(F29="",G29=""),"",F29/G29)</x:f>
      </x:c>
      <x:c r="T29" t="str">
        <x:f>IF(OR(H29="",I29="",J29=""),"",0.45*H29^2/(4*PI())+0.10*I29^2/(4*PI())+0.45*J29^2/(4*PI()))</x:f>
      </x:c>
      <x:c r="U29" t="str">
        <x:f>IF(G29="","",1.1*G29*100)</x:f>
      </x:c>
      <x:c r="V29" t="str">
        <x:f>IF(OR(E29="",T29="",U29=""),"",E29*T29/U29)</x:f>
      </x:c>
      <x:c r="W29" t="str">
        <x:f>IF(OR(F29="",T29="",U29=""),"",F29*T29/U29)</x:f>
      </x:c>
    </x:row>
    <x:row r="30">
      <x:c r="R30" t="str">
        <x:f>IF(OR(E30="",G30=""),"",E30/G30)</x:f>
      </x:c>
      <x:c r="S30" t="str">
        <x:f>IF(OR(F30="",G30=""),"",F30/G30)</x:f>
      </x:c>
      <x:c r="T30" t="str">
        <x:f>IF(OR(H30="",I30="",J30=""),"",0.45*H30^2/(4*PI())+0.10*I30^2/(4*PI())+0.45*J30^2/(4*PI()))</x:f>
      </x:c>
      <x:c r="U30" t="str">
        <x:f>IF(G30="","",1.1*G30*100)</x:f>
      </x:c>
      <x:c r="V30" t="str">
        <x:f>IF(OR(E30="",T30="",U30=""),"",E30*T30/U30)</x:f>
      </x:c>
      <x:c r="W30" t="str">
        <x:f>IF(OR(F30="",T30="",U30=""),"",F30*T30/U30)</x:f>
      </x:c>
    </x:row>
    <x:row r="31">
      <x:c r="R31" t="str">
        <x:f>IF(OR(E31="",G31=""),"",E31/G31)</x:f>
      </x:c>
      <x:c r="S31" t="str">
        <x:f>IF(OR(F31="",G31=""),"",F31/G31)</x:f>
      </x:c>
      <x:c r="T31" t="str">
        <x:f>IF(OR(H31="",I31="",J31=""),"",0.45*H31^2/(4*PI())+0.10*I31^2/(4*PI())+0.45*J31^2/(4*PI()))</x:f>
      </x:c>
      <x:c r="U31" t="str">
        <x:f>IF(G31="","",1.1*G31*100)</x:f>
      </x:c>
      <x:c r="V31" t="str">
        <x:f>IF(OR(E31="",T31="",U31=""),"",E31*T31/U31)</x:f>
      </x:c>
      <x:c r="W31" t="str">
        <x:f>IF(OR(F31="",T31="",U31=""),"",F31*T31/U31)</x:f>
      </x:c>
    </x:row>
    <x:row r="32">
      <x:c r="R32" t="str">
        <x:f>IF(OR(E32="",G32=""),"",E32/G32)</x:f>
      </x:c>
      <x:c r="S32" t="str">
        <x:f>IF(OR(F32="",G32=""),"",F32/G32)</x:f>
      </x:c>
      <x:c r="T32" t="str">
        <x:f>IF(OR(H32="",I32="",J32=""),"",0.45*H32^2/(4*PI())+0.10*I32^2/(4*PI())+0.45*J32^2/(4*PI()))</x:f>
      </x:c>
      <x:c r="U32" t="str">
        <x:f>IF(G32="","",1.1*G32*100)</x:f>
      </x:c>
      <x:c r="V32" t="str">
        <x:f>IF(OR(E32="",T32="",U32=""),"",E32*T32/U32)</x:f>
      </x:c>
      <x:c r="W32" t="str">
        <x:f>IF(OR(F32="",T32="",U32=""),"",F32*T32/U32)</x:f>
      </x:c>
    </x:row>
    <x:row r="33">
      <x:c r="R33" t="str">
        <x:f>IF(OR(E33="",G33=""),"",E33/G33)</x:f>
      </x:c>
      <x:c r="S33" t="str">
        <x:f>IF(OR(F33="",G33=""),"",F33/G33)</x:f>
      </x:c>
      <x:c r="T33" t="str">
        <x:f>IF(OR(H33="",I33="",J33=""),"",0.45*H33^2/(4*PI())+0.10*I33^2/(4*PI())+0.45*J33^2/(4*PI()))</x:f>
      </x:c>
      <x:c r="U33" t="str">
        <x:f>IF(G33="","",1.1*G33*100)</x:f>
      </x:c>
      <x:c r="V33" t="str">
        <x:f>IF(OR(E33="",T33="",U33=""),"",E33*T33/U33)</x:f>
      </x:c>
      <x:c r="W33" t="str">
        <x:f>IF(OR(F33="",T33="",U33=""),"",F33*T33/U33)</x:f>
      </x:c>
    </x:row>
    <x:row r="34">
      <x:c r="R34" t="str">
        <x:f>IF(OR(E34="",G34=""),"",E34/G34)</x:f>
      </x:c>
      <x:c r="S34" t="str">
        <x:f>IF(OR(F34="",G34=""),"",F34/G34)</x:f>
      </x:c>
      <x:c r="T34" t="str">
        <x:f>IF(OR(H34="",I34="",J34=""),"",0.45*H34^2/(4*PI())+0.10*I34^2/(4*PI())+0.45*J34^2/(4*PI()))</x:f>
      </x:c>
      <x:c r="U34" t="str">
        <x:f>IF(G34="","",1.1*G34*100)</x:f>
      </x:c>
      <x:c r="V34" t="str">
        <x:f>IF(OR(E34="",T34="",U34=""),"",E34*T34/U34)</x:f>
      </x:c>
      <x:c r="W34" t="str">
        <x:f>IF(OR(F34="",T34="",U34=""),"",F34*T34/U34)</x:f>
      </x:c>
    </x:row>
    <x:row r="35">
      <x:c r="R35" t="str">
        <x:f>IF(OR(E35="",G35=""),"",E35/G35)</x:f>
      </x:c>
      <x:c r="S35" t="str">
        <x:f>IF(OR(F35="",G35=""),"",F35/G35)</x:f>
      </x:c>
      <x:c r="T35" t="str">
        <x:f>IF(OR(H35="",I35="",J35=""),"",0.45*H35^2/(4*PI())+0.10*I35^2/(4*PI())+0.45*J35^2/(4*PI()))</x:f>
      </x:c>
      <x:c r="U35" t="str">
        <x:f>IF(G35="","",1.1*G35*100)</x:f>
      </x:c>
      <x:c r="V35" t="str">
        <x:f>IF(OR(E35="",T35="",U35=""),"",E35*T35/U35)</x:f>
      </x:c>
      <x:c r="W35" t="str">
        <x:f>IF(OR(F35="",T35="",U35=""),"",F35*T35/U35)</x:f>
      </x:c>
    </x:row>
    <x:row r="36">
      <x:c r="R36" t="str">
        <x:f>IF(OR(E36="",G36=""),"",E36/G36)</x:f>
      </x:c>
      <x:c r="S36" t="str">
        <x:f>IF(OR(F36="",G36=""),"",F36/G36)</x:f>
      </x:c>
      <x:c r="T36" t="str">
        <x:f>IF(OR(H36="",I36="",J36=""),"",0.45*H36^2/(4*PI())+0.10*I36^2/(4*PI())+0.45*J36^2/(4*PI()))</x:f>
      </x:c>
      <x:c r="U36" t="str">
        <x:f>IF(G36="","",1.1*G36*100)</x:f>
      </x:c>
      <x:c r="V36" t="str">
        <x:f>IF(OR(E36="",T36="",U36=""),"",E36*T36/U36)</x:f>
      </x:c>
      <x:c r="W36" t="str">
        <x:f>IF(OR(F36="",T36="",U36=""),"",F36*T36/U36)</x:f>
      </x:c>
    </x:row>
    <x:row r="37">
      <x:c r="R37" t="str">
        <x:f>IF(OR(E37="",G37=""),"",E37/G37)</x:f>
      </x:c>
      <x:c r="S37" t="str">
        <x:f>IF(OR(F37="",G37=""),"",F37/G37)</x:f>
      </x:c>
      <x:c r="T37" t="str">
        <x:f>IF(OR(H37="",I37="",J37=""),"",0.45*H37^2/(4*PI())+0.10*I37^2/(4*PI())+0.45*J37^2/(4*PI()))</x:f>
      </x:c>
      <x:c r="U37" t="str">
        <x:f>IF(G37="","",1.1*G37*100)</x:f>
      </x:c>
      <x:c r="V37" t="str">
        <x:f>IF(OR(E37="",T37="",U37=""),"",E37*T37/U37)</x:f>
      </x:c>
      <x:c r="W37" t="str">
        <x:f>IF(OR(F37="",T37="",U37=""),"",F37*T37/U37)</x:f>
      </x:c>
    </x:row>
    <x:row r="38">
      <x:c r="R38" t="str">
        <x:f>IF(OR(E38="",G38=""),"",E38/G38)</x:f>
      </x:c>
      <x:c r="S38" t="str">
        <x:f>IF(OR(F38="",G38=""),"",F38/G38)</x:f>
      </x:c>
      <x:c r="T38" t="str">
        <x:f>IF(OR(H38="",I38="",J38=""),"",0.45*H38^2/(4*PI())+0.10*I38^2/(4*PI())+0.45*J38^2/(4*PI()))</x:f>
      </x:c>
      <x:c r="U38" t="str">
        <x:f>IF(G38="","",1.1*G38*100)</x:f>
      </x:c>
      <x:c r="V38" t="str">
        <x:f>IF(OR(E38="",T38="",U38=""),"",E38*T38/U38)</x:f>
      </x:c>
      <x:c r="W38" t="str">
        <x:f>IF(OR(F38="",T38="",U38=""),"",F38*T38/U38)</x:f>
      </x:c>
    </x:row>
    <x:row r="39">
      <x:c r="R39" t="str">
        <x:f>IF(OR(E39="",G39=""),"",E39/G39)</x:f>
      </x:c>
      <x:c r="S39" t="str">
        <x:f>IF(OR(F39="",G39=""),"",F39/G39)</x:f>
      </x:c>
      <x:c r="T39" t="str">
        <x:f>IF(OR(H39="",I39="",J39=""),"",0.45*H39^2/(4*PI())+0.10*I39^2/(4*PI())+0.45*J39^2/(4*PI()))</x:f>
      </x:c>
      <x:c r="U39" t="str">
        <x:f>IF(G39="","",1.1*G39*100)</x:f>
      </x:c>
      <x:c r="V39" t="str">
        <x:f>IF(OR(E39="",T39="",U39=""),"",E39*T39/U39)</x:f>
      </x:c>
      <x:c r="W39" t="str">
        <x:f>IF(OR(F39="",T39="",U39=""),"",F39*T39/U39)</x:f>
      </x:c>
    </x:row>
    <x:row r="40">
      <x:c r="R40" t="str">
        <x:f>IF(OR(E40="",G40=""),"",E40/G40)</x:f>
      </x:c>
      <x:c r="S40" t="str">
        <x:f>IF(OR(F40="",G40=""),"",F40/G40)</x:f>
      </x:c>
      <x:c r="T40" t="str">
        <x:f>IF(OR(H40="",I40="",J40=""),"",0.45*H40^2/(4*PI())+0.10*I40^2/(4*PI())+0.45*J40^2/(4*PI()))</x:f>
      </x:c>
      <x:c r="U40" t="str">
        <x:f>IF(G40="","",1.1*G40*100)</x:f>
      </x:c>
      <x:c r="V40" t="str">
        <x:f>IF(OR(E40="",T40="",U40=""),"",E40*T40/U40)</x:f>
      </x:c>
      <x:c r="W40" t="str">
        <x:f>IF(OR(F40="",T40="",U40=""),"",F40*T40/U40)</x:f>
      </x:c>
    </x:row>
    <x:row r="41">
      <x:c r="R41" t="str">
        <x:f>IF(OR(E41="",G41=""),"",E41/G41)</x:f>
      </x:c>
      <x:c r="S41" t="str">
        <x:f>IF(OR(F41="",G41=""),"",F41/G41)</x:f>
      </x:c>
      <x:c r="T41" t="str">
        <x:f>IF(OR(H41="",I41="",J41=""),"",0.45*H41^2/(4*PI())+0.10*I41^2/(4*PI())+0.45*J41^2/(4*PI()))</x:f>
      </x:c>
      <x:c r="U41" t="str">
        <x:f>IF(G41="","",1.1*G41*100)</x:f>
      </x:c>
      <x:c r="V41" t="str">
        <x:f>IF(OR(E41="",T41="",U41=""),"",E41*T41/U41)</x:f>
      </x:c>
      <x:c r="W41" t="str">
        <x:f>IF(OR(F41="",T41="",U41=""),"",F41*T41/U41)</x:f>
      </x:c>
    </x:row>
    <x:row r="42">
      <x:c r="R42" t="str">
        <x:f>IF(OR(E42="",G42=""),"",E42/G42)</x:f>
      </x:c>
      <x:c r="S42" t="str">
        <x:f>IF(OR(F42="",G42=""),"",F42/G42)</x:f>
      </x:c>
      <x:c r="T42" t="str">
        <x:f>IF(OR(H42="",I42="",J42=""),"",0.45*H42^2/(4*PI())+0.10*I42^2/(4*PI())+0.45*J42^2/(4*PI()))</x:f>
      </x:c>
      <x:c r="U42" t="str">
        <x:f>IF(G42="","",1.1*G42*100)</x:f>
      </x:c>
      <x:c r="V42" t="str">
        <x:f>IF(OR(E42="",T42="",U42=""),"",E42*T42/U42)</x:f>
      </x:c>
      <x:c r="W42" t="str">
        <x:f>IF(OR(F42="",T42="",U42=""),"",F42*T42/U42)</x:f>
      </x:c>
    </x:row>
    <x:row r="43">
      <x:c r="R43" t="str">
        <x:f>IF(OR(E43="",G43=""),"",E43/G43)</x:f>
      </x:c>
      <x:c r="S43" t="str">
        <x:f>IF(OR(F43="",G43=""),"",F43/G43)</x:f>
      </x:c>
      <x:c r="T43" t="str">
        <x:f>IF(OR(H43="",I43="",J43=""),"",0.45*H43^2/(4*PI())+0.10*I43^2/(4*PI())+0.45*J43^2/(4*PI()))</x:f>
      </x:c>
      <x:c r="U43" t="str">
        <x:f>IF(G43="","",1.1*G43*100)</x:f>
      </x:c>
      <x:c r="V43" t="str">
        <x:f>IF(OR(E43="",T43="",U43=""),"",E43*T43/U43)</x:f>
      </x:c>
      <x:c r="W43" t="str">
        <x:f>IF(OR(F43="",T43="",U43=""),"",F43*T43/U43)</x:f>
      </x:c>
    </x:row>
    <x:row r="44">
      <x:c r="R44" t="str">
        <x:f>IF(OR(E44="",G44=""),"",E44/G44)</x:f>
      </x:c>
      <x:c r="S44" t="str">
        <x:f>IF(OR(F44="",G44=""),"",F44/G44)</x:f>
      </x:c>
      <x:c r="T44" t="str">
        <x:f>IF(OR(H44="",I44="",J44=""),"",0.45*H44^2/(4*PI())+0.10*I44^2/(4*PI())+0.45*J44^2/(4*PI()))</x:f>
      </x:c>
      <x:c r="U44" t="str">
        <x:f>IF(G44="","",1.1*G44*100)</x:f>
      </x:c>
      <x:c r="V44" t="str">
        <x:f>IF(OR(E44="",T44="",U44=""),"",E44*T44/U44)</x:f>
      </x:c>
      <x:c r="W44" t="str">
        <x:f>IF(OR(F44="",T44="",U44=""),"",F44*T44/U44)</x:f>
      </x:c>
    </x:row>
    <x:row r="45">
      <x:c r="R45" t="str">
        <x:f>IF(OR(E45="",G45=""),"",E45/G45)</x:f>
      </x:c>
      <x:c r="S45" t="str">
        <x:f>IF(OR(F45="",G45=""),"",F45/G45)</x:f>
      </x:c>
      <x:c r="T45" t="str">
        <x:f>IF(OR(H45="",I45="",J45=""),"",0.45*H45^2/(4*PI())+0.10*I45^2/(4*PI())+0.45*J45^2/(4*PI()))</x:f>
      </x:c>
      <x:c r="U45" t="str">
        <x:f>IF(G45="","",1.1*G45*100)</x:f>
      </x:c>
      <x:c r="V45" t="str">
        <x:f>IF(OR(E45="",T45="",U45=""),"",E45*T45/U45)</x:f>
      </x:c>
      <x:c r="W45" t="str">
        <x:f>IF(OR(F45="",T45="",U45=""),"",F45*T45/U45)</x:f>
      </x:c>
    </x:row>
    <x:row r="46">
      <x:c r="R46" t="str">
        <x:f>IF(OR(E46="",G46=""),"",E46/G46)</x:f>
      </x:c>
      <x:c r="S46" t="str">
        <x:f>IF(OR(F46="",G46=""),"",F46/G46)</x:f>
      </x:c>
      <x:c r="T46" t="str">
        <x:f>IF(OR(H46="",I46="",J46=""),"",0.45*H46^2/(4*PI())+0.10*I46^2/(4*PI())+0.45*J46^2/(4*PI()))</x:f>
      </x:c>
      <x:c r="U46" t="str">
        <x:f>IF(G46="","",1.1*G46*100)</x:f>
      </x:c>
      <x:c r="V46" t="str">
        <x:f>IF(OR(E46="",T46="",U46=""),"",E46*T46/U46)</x:f>
      </x:c>
      <x:c r="W46" t="str">
        <x:f>IF(OR(F46="",T46="",U46=""),"",F46*T46/U46)</x:f>
      </x:c>
    </x:row>
    <x:row r="47">
      <x:c r="R47" t="str">
        <x:f>IF(OR(E47="",G47=""),"",E47/G47)</x:f>
      </x:c>
      <x:c r="S47" t="str">
        <x:f>IF(OR(F47="",G47=""),"",F47/G47)</x:f>
      </x:c>
      <x:c r="T47" t="str">
        <x:f>IF(OR(H47="",I47="",J47=""),"",0.45*H47^2/(4*PI())+0.10*I47^2/(4*PI())+0.45*J47^2/(4*PI()))</x:f>
      </x:c>
      <x:c r="U47" t="str">
        <x:f>IF(G47="","",1.1*G47*100)</x:f>
      </x:c>
      <x:c r="V47" t="str">
        <x:f>IF(OR(E47="",T47="",U47=""),"",E47*T47/U47)</x:f>
      </x:c>
      <x:c r="W47" t="str">
        <x:f>IF(OR(F47="",T47="",U47=""),"",F47*T47/U47)</x:f>
      </x:c>
    </x:row>
    <x:row r="48">
      <x:c r="R48" t="str">
        <x:f>IF(OR(E48="",G48=""),"",E48/G48)</x:f>
      </x:c>
      <x:c r="S48" t="str">
        <x:f>IF(OR(F48="",G48=""),"",F48/G48)</x:f>
      </x:c>
      <x:c r="T48" t="str">
        <x:f>IF(OR(H48="",I48="",J48=""),"",0.45*H48^2/(4*PI())+0.10*I48^2/(4*PI())+0.45*J48^2/(4*PI()))</x:f>
      </x:c>
      <x:c r="U48" t="str">
        <x:f>IF(G48="","",1.1*G48*100)</x:f>
      </x:c>
      <x:c r="V48" t="str">
        <x:f>IF(OR(E48="",T48="",U48=""),"",E48*T48/U48)</x:f>
      </x:c>
      <x:c r="W48" t="str">
        <x:f>IF(OR(F48="",T48="",U48=""),"",F48*T48/U48)</x:f>
      </x:c>
    </x:row>
    <x:row r="49">
      <x:c r="R49" t="str">
        <x:f>IF(OR(E49="",G49=""),"",E49/G49)</x:f>
      </x:c>
      <x:c r="S49" t="str">
        <x:f>IF(OR(F49="",G49=""),"",F49/G49)</x:f>
      </x:c>
      <x:c r="T49" t="str">
        <x:f>IF(OR(H49="",I49="",J49=""),"",0.45*H49^2/(4*PI())+0.10*I49^2/(4*PI())+0.45*J49^2/(4*PI()))</x:f>
      </x:c>
      <x:c r="U49" t="str">
        <x:f>IF(G49="","",1.1*G49*100)</x:f>
      </x:c>
      <x:c r="V49" t="str">
        <x:f>IF(OR(E49="",T49="",U49=""),"",E49*T49/U49)</x:f>
      </x:c>
      <x:c r="W49" t="str">
        <x:f>IF(OR(F49="",T49="",U49=""),"",F49*T49/U49)</x:f>
      </x:c>
    </x:row>
    <x:row r="50">
      <x:c r="R50" t="str">
        <x:f>IF(OR(E50="",G50=""),"",E50/G50)</x:f>
      </x:c>
      <x:c r="S50" t="str">
        <x:f>IF(OR(F50="",G50=""),"",F50/G50)</x:f>
      </x:c>
      <x:c r="T50" t="str">
        <x:f>IF(OR(H50="",I50="",J50=""),"",0.45*H50^2/(4*PI())+0.10*I50^2/(4*PI())+0.45*J50^2/(4*PI()))</x:f>
      </x:c>
      <x:c r="U50" t="str">
        <x:f>IF(G50="","",1.1*G50*100)</x:f>
      </x:c>
      <x:c r="V50" t="str">
        <x:f>IF(OR(E50="",T50="",U50=""),"",E50*T50/U50)</x:f>
      </x:c>
      <x:c r="W50" t="str">
        <x:f>IF(OR(F50="",T50="",U50=""),"",F50*T50/U50)</x:f>
      </x:c>
    </x:row>
    <x:row r="51">
      <x:c r="R51" t="str">
        <x:f>IF(OR(E51="",G51=""),"",E51/G51)</x:f>
      </x:c>
      <x:c r="S51" t="str">
        <x:f>IF(OR(F51="",G51=""),"",F51/G51)</x:f>
      </x:c>
      <x:c r="T51" t="str">
        <x:f>IF(OR(H51="",I51="",J51=""),"",0.45*H51^2/(4*PI())+0.10*I51^2/(4*PI())+0.45*J51^2/(4*PI()))</x:f>
      </x:c>
      <x:c r="U51" t="str">
        <x:f>IF(G51="","",1.1*G51*100)</x:f>
      </x:c>
      <x:c r="V51" t="str">
        <x:f>IF(OR(E51="",T51="",U51=""),"",E51*T51/U51)</x:f>
      </x:c>
      <x:c r="W51" t="str">
        <x:f>IF(OR(F51="",T51="",U51=""),"",F51*T51/U51)</x:f>
      </x:c>
    </x:row>
    <x:row r="52">
      <x:c r="R52" t="str">
        <x:f>IF(OR(E52="",G52=""),"",E52/G52)</x:f>
      </x:c>
      <x:c r="S52" t="str">
        <x:f>IF(OR(F52="",G52=""),"",F52/G52)</x:f>
      </x:c>
      <x:c r="T52" t="str">
        <x:f>IF(OR(H52="",I52="",J52=""),"",0.45*H52^2/(4*PI())+0.10*I52^2/(4*PI())+0.45*J52^2/(4*PI()))</x:f>
      </x:c>
      <x:c r="U52" t="str">
        <x:f>IF(G52="","",1.1*G52*100)</x:f>
      </x:c>
      <x:c r="V52" t="str">
        <x:f>IF(OR(E52="",T52="",U52=""),"",E52*T52/U52)</x:f>
      </x:c>
      <x:c r="W52" t="str">
        <x:f>IF(OR(F52="",T52="",U52=""),"",F52*T52/U52)</x:f>
      </x:c>
    </x:row>
    <x:row r="53">
      <x:c r="R53" t="str">
        <x:f>IF(OR(E53="",G53=""),"",E53/G53)</x:f>
      </x:c>
      <x:c r="S53" t="str">
        <x:f>IF(OR(F53="",G53=""),"",F53/G53)</x:f>
      </x:c>
      <x:c r="T53" t="str">
        <x:f>IF(OR(H53="",I53="",J53=""),"",0.45*H53^2/(4*PI())+0.10*I53^2/(4*PI())+0.45*J53^2/(4*PI()))</x:f>
      </x:c>
      <x:c r="U53" t="str">
        <x:f>IF(G53="","",1.1*G53*100)</x:f>
      </x:c>
      <x:c r="V53" t="str">
        <x:f>IF(OR(E53="",T53="",U53=""),"",E53*T53/U53)</x:f>
      </x:c>
      <x:c r="W53" t="str">
        <x:f>IF(OR(F53="",T53="",U53=""),"",F53*T53/U53)</x:f>
      </x:c>
    </x:row>
    <x:row r="54">
      <x:c r="R54" t="str">
        <x:f>IF(OR(E54="",G54=""),"",E54/G54)</x:f>
      </x:c>
      <x:c r="S54" t="str">
        <x:f>IF(OR(F54="",G54=""),"",F54/G54)</x:f>
      </x:c>
      <x:c r="T54" t="str">
        <x:f>IF(OR(H54="",I54="",J54=""),"",0.45*H54^2/(4*PI())+0.10*I54^2/(4*PI())+0.45*J54^2/(4*PI()))</x:f>
      </x:c>
      <x:c r="U54" t="str">
        <x:f>IF(G54="","",1.1*G54*100)</x:f>
      </x:c>
      <x:c r="V54" t="str">
        <x:f>IF(OR(E54="",T54="",U54=""),"",E54*T54/U54)</x:f>
      </x:c>
      <x:c r="W54" t="str">
        <x:f>IF(OR(F54="",T54="",U54=""),"",F54*T54/U54)</x:f>
      </x:c>
    </x:row>
    <x:row r="55">
      <x:c r="R55" t="str">
        <x:f>IF(OR(E55="",G55=""),"",E55/G55)</x:f>
      </x:c>
      <x:c r="S55" t="str">
        <x:f>IF(OR(F55="",G55=""),"",F55/G55)</x:f>
      </x:c>
      <x:c r="T55" t="str">
        <x:f>IF(OR(H55="",I55="",J55=""),"",0.45*H55^2/(4*PI())+0.10*I55^2/(4*PI())+0.45*J55^2/(4*PI()))</x:f>
      </x:c>
      <x:c r="U55" t="str">
        <x:f>IF(G55="","",1.1*G55*100)</x:f>
      </x:c>
      <x:c r="V55" t="str">
        <x:f>IF(OR(E55="",T55="",U55=""),"",E55*T55/U55)</x:f>
      </x:c>
      <x:c r="W55" t="str">
        <x:f>IF(OR(F55="",T55="",U55=""),"",F55*T55/U55)</x:f>
      </x:c>
    </x:row>
    <x:row r="56">
      <x:c r="R56" t="str">
        <x:f>IF(OR(E56="",G56=""),"",E56/G56)</x:f>
      </x:c>
      <x:c r="S56" t="str">
        <x:f>IF(OR(F56="",G56=""),"",F56/G56)</x:f>
      </x:c>
      <x:c r="T56" t="str">
        <x:f>IF(OR(H56="",I56="",J56=""),"",0.45*H56^2/(4*PI())+0.10*I56^2/(4*PI())+0.45*J56^2/(4*PI()))</x:f>
      </x:c>
      <x:c r="U56" t="str">
        <x:f>IF(G56="","",1.1*G56*100)</x:f>
      </x:c>
      <x:c r="V56" t="str">
        <x:f>IF(OR(E56="",T56="",U56=""),"",E56*T56/U56)</x:f>
      </x:c>
      <x:c r="W56" t="str">
        <x:f>IF(OR(F56="",T56="",U56=""),"",F56*T56/U56)</x:f>
      </x:c>
    </x:row>
    <x:row r="57">
      <x:c r="R57" t="str">
        <x:f>IF(OR(E57="",G57=""),"",E57/G57)</x:f>
      </x:c>
      <x:c r="S57" t="str">
        <x:f>IF(OR(F57="",G57=""),"",F57/G57)</x:f>
      </x:c>
      <x:c r="T57" t="str">
        <x:f>IF(OR(H57="",I57="",J57=""),"",0.45*H57^2/(4*PI())+0.10*I57^2/(4*PI())+0.45*J57^2/(4*PI()))</x:f>
      </x:c>
      <x:c r="U57" t="str">
        <x:f>IF(G57="","",1.1*G57*100)</x:f>
      </x:c>
      <x:c r="V57" t="str">
        <x:f>IF(OR(E57="",T57="",U57=""),"",E57*T57/U57)</x:f>
      </x:c>
      <x:c r="W57" t="str">
        <x:f>IF(OR(F57="",T57="",U57=""),"",F57*T57/U57)</x:f>
      </x:c>
    </x:row>
    <x:row r="58">
      <x:c r="R58" t="str">
        <x:f>IF(OR(E58="",G58=""),"",E58/G58)</x:f>
      </x:c>
      <x:c r="S58" t="str">
        <x:f>IF(OR(F58="",G58=""),"",F58/G58)</x:f>
      </x:c>
      <x:c r="T58" t="str">
        <x:f>IF(OR(H58="",I58="",J58=""),"",0.45*H58^2/(4*PI())+0.10*I58^2/(4*PI())+0.45*J58^2/(4*PI()))</x:f>
      </x:c>
      <x:c r="U58" t="str">
        <x:f>IF(G58="","",1.1*G58*100)</x:f>
      </x:c>
      <x:c r="V58" t="str">
        <x:f>IF(OR(E58="",T58="",U58=""),"",E58*T58/U58)</x:f>
      </x:c>
      <x:c r="W58" t="str">
        <x:f>IF(OR(F58="",T58="",U58=""),"",F58*T58/U58)</x:f>
      </x:c>
    </x:row>
    <x:row r="59">
      <x:c r="R59" t="str">
        <x:f>IF(OR(E59="",G59=""),"",E59/G59)</x:f>
      </x:c>
      <x:c r="S59" t="str">
        <x:f>IF(OR(F59="",G59=""),"",F59/G59)</x:f>
      </x:c>
      <x:c r="T59" t="str">
        <x:f>IF(OR(H59="",I59="",J59=""),"",0.45*H59^2/(4*PI())+0.10*I59^2/(4*PI())+0.45*J59^2/(4*PI()))</x:f>
      </x:c>
      <x:c r="U59" t="str">
        <x:f>IF(G59="","",1.1*G59*100)</x:f>
      </x:c>
      <x:c r="V59" t="str">
        <x:f>IF(OR(E59="",T59="",U59=""),"",E59*T59/U59)</x:f>
      </x:c>
      <x:c r="W59" t="str">
        <x:f>IF(OR(F59="",T59="",U59=""),"",F59*T59/U59)</x:f>
      </x:c>
    </x:row>
    <x:row r="60">
      <x:c r="R60" t="str">
        <x:f>IF(OR(E60="",G60=""),"",E60/G60)</x:f>
      </x:c>
      <x:c r="S60" t="str">
        <x:f>IF(OR(F60="",G60=""),"",F60/G60)</x:f>
      </x:c>
      <x:c r="T60" t="str">
        <x:f>IF(OR(H60="",I60="",J60=""),"",0.45*H60^2/(4*PI())+0.10*I60^2/(4*PI())+0.45*J60^2/(4*PI()))</x:f>
      </x:c>
      <x:c r="U60" t="str">
        <x:f>IF(G60="","",1.1*G60*100)</x:f>
      </x:c>
      <x:c r="V60" t="str">
        <x:f>IF(OR(E60="",T60="",U60=""),"",E60*T60/U60)</x:f>
      </x:c>
      <x:c r="W60" t="str">
        <x:f>IF(OR(F60="",T60="",U60=""),"",F60*T60/U60)</x:f>
      </x:c>
    </x:row>
    <x:row r="61">
      <x:c r="R61" t="str">
        <x:f>IF(OR(E61="",G61=""),"",E61/G61)</x:f>
      </x:c>
      <x:c r="S61" t="str">
        <x:f>IF(OR(F61="",G61=""),"",F61/G61)</x:f>
      </x:c>
      <x:c r="T61" t="str">
        <x:f>IF(OR(H61="",I61="",J61=""),"",0.45*H61^2/(4*PI())+0.10*I61^2/(4*PI())+0.45*J61^2/(4*PI()))</x:f>
      </x:c>
      <x:c r="U61" t="str">
        <x:f>IF(G61="","",1.1*G61*100)</x:f>
      </x:c>
      <x:c r="V61" t="str">
        <x:f>IF(OR(E61="",T61="",U61=""),"",E61*T61/U61)</x:f>
      </x:c>
      <x:c r="W61" t="str">
        <x:f>IF(OR(F61="",T61="",U61=""),"",F61*T61/U61)</x:f>
      </x:c>
    </x:row>
    <x:row r="62">
      <x:c r="R62" t="str">
        <x:f>IF(OR(E62="",G62=""),"",E62/G62)</x:f>
      </x:c>
      <x:c r="S62" t="str">
        <x:f>IF(OR(F62="",G62=""),"",F62/G62)</x:f>
      </x:c>
      <x:c r="T62" t="str">
        <x:f>IF(OR(H62="",I62="",J62=""),"",0.45*H62^2/(4*PI())+0.10*I62^2/(4*PI())+0.45*J62^2/(4*PI()))</x:f>
      </x:c>
      <x:c r="U62" t="str">
        <x:f>IF(G62="","",1.1*G62*100)</x:f>
      </x:c>
      <x:c r="V62" t="str">
        <x:f>IF(OR(E62="",T62="",U62=""),"",E62*T62/U62)</x:f>
      </x:c>
      <x:c r="W62" t="str">
        <x:f>IF(OR(F62="",T62="",U62=""),"",F62*T62/U62)</x:f>
      </x:c>
    </x:row>
    <x:row r="63">
      <x:c r="R63" t="str">
        <x:f>IF(OR(E63="",G63=""),"",E63/G63)</x:f>
      </x:c>
      <x:c r="S63" t="str">
        <x:f>IF(OR(F63="",G63=""),"",F63/G63)</x:f>
      </x:c>
      <x:c r="T63" t="str">
        <x:f>IF(OR(H63="",I63="",J63=""),"",0.45*H63^2/(4*PI())+0.10*I63^2/(4*PI())+0.45*J63^2/(4*PI()))</x:f>
      </x:c>
      <x:c r="U63" t="str">
        <x:f>IF(G63="","",1.1*G63*100)</x:f>
      </x:c>
      <x:c r="V63" t="str">
        <x:f>IF(OR(E63="",T63="",U63=""),"",E63*T63/U63)</x:f>
      </x:c>
      <x:c r="W63" t="str">
        <x:f>IF(OR(F63="",T63="",U63=""),"",F63*T63/U63)</x:f>
      </x:c>
    </x:row>
    <x:row r="64">
      <x:c r="R64" t="str">
        <x:f>IF(OR(E64="",G64=""),"",E64/G64)</x:f>
      </x:c>
      <x:c r="S64" t="str">
        <x:f>IF(OR(F64="",G64=""),"",F64/G64)</x:f>
      </x:c>
      <x:c r="T64" t="str">
        <x:f>IF(OR(H64="",I64="",J64=""),"",0.45*H64^2/(4*PI())+0.10*I64^2/(4*PI())+0.45*J64^2/(4*PI()))</x:f>
      </x:c>
      <x:c r="U64" t="str">
        <x:f>IF(G64="","",1.1*G64*100)</x:f>
      </x:c>
      <x:c r="V64" t="str">
        <x:f>IF(OR(E64="",T64="",U64=""),"",E64*T64/U64)</x:f>
      </x:c>
      <x:c r="W64" t="str">
        <x:f>IF(OR(F64="",T64="",U64=""),"",F64*T64/U64)</x:f>
      </x:c>
    </x:row>
    <x:row r="65">
      <x:c r="R65" t="str">
        <x:f>IF(OR(E65="",G65=""),"",E65/G65)</x:f>
      </x:c>
      <x:c r="S65" t="str">
        <x:f>IF(OR(F65="",G65=""),"",F65/G65)</x:f>
      </x:c>
      <x:c r="T65" t="str">
        <x:f>IF(OR(H65="",I65="",J65=""),"",0.45*H65^2/(4*PI())+0.10*I65^2/(4*PI())+0.45*J65^2/(4*PI()))</x:f>
      </x:c>
      <x:c r="U65" t="str">
        <x:f>IF(G65="","",1.1*G65*100)</x:f>
      </x:c>
      <x:c r="V65" t="str">
        <x:f>IF(OR(E65="",T65="",U65=""),"",E65*T65/U65)</x:f>
      </x:c>
      <x:c r="W65" t="str">
        <x:f>IF(OR(F65="",T65="",U65=""),"",F65*T65/U65)</x:f>
      </x:c>
    </x:row>
    <x:row r="66">
      <x:c r="R66" t="str">
        <x:f>IF(OR(E66="",G66=""),"",E66/G66)</x:f>
      </x:c>
      <x:c r="S66" t="str">
        <x:f>IF(OR(F66="",G66=""),"",F66/G66)</x:f>
      </x:c>
      <x:c r="T66" t="str">
        <x:f>IF(OR(H66="",I66="",J66=""),"",0.45*H66^2/(4*PI())+0.10*I66^2/(4*PI())+0.45*J66^2/(4*PI()))</x:f>
      </x:c>
      <x:c r="U66" t="str">
        <x:f>IF(G66="","",1.1*G66*100)</x:f>
      </x:c>
      <x:c r="V66" t="str">
        <x:f>IF(OR(E66="",T66="",U66=""),"",E66*T66/U66)</x:f>
      </x:c>
      <x:c r="W66" t="str">
        <x:f>IF(OR(F66="",T66="",U66=""),"",F66*T66/U66)</x:f>
      </x:c>
    </x:row>
    <x:row r="67">
      <x:c r="R67" t="str">
        <x:f>IF(OR(E67="",G67=""),"",E67/G67)</x:f>
      </x:c>
      <x:c r="S67" t="str">
        <x:f>IF(OR(F67="",G67=""),"",F67/G67)</x:f>
      </x:c>
      <x:c r="T67" t="str">
        <x:f>IF(OR(H67="",I67="",J67=""),"",0.45*H67^2/(4*PI())+0.10*I67^2/(4*PI())+0.45*J67^2/(4*PI()))</x:f>
      </x:c>
      <x:c r="U67" t="str">
        <x:f>IF(G67="","",1.1*G67*100)</x:f>
      </x:c>
      <x:c r="V67" t="str">
        <x:f>IF(OR(E67="",T67="",U67=""),"",E67*T67/U67)</x:f>
      </x:c>
      <x:c r="W67" t="str">
        <x:f>IF(OR(F67="",T67="",U67=""),"",F67*T67/U67)</x:f>
      </x:c>
    </x:row>
    <x:row r="68">
      <x:c r="R68" t="str">
        <x:f>IF(OR(E68="",G68=""),"",E68/G68)</x:f>
      </x:c>
      <x:c r="S68" t="str">
        <x:f>IF(OR(F68="",G68=""),"",F68/G68)</x:f>
      </x:c>
      <x:c r="T68" t="str">
        <x:f>IF(OR(H68="",I68="",J68=""),"",0.45*H68^2/(4*PI())+0.10*I68^2/(4*PI())+0.45*J68^2/(4*PI()))</x:f>
      </x:c>
      <x:c r="U68" t="str">
        <x:f>IF(G68="","",1.1*G68*100)</x:f>
      </x:c>
      <x:c r="V68" t="str">
        <x:f>IF(OR(E68="",T68="",U68=""),"",E68*T68/U68)</x:f>
      </x:c>
      <x:c r="W68" t="str">
        <x:f>IF(OR(F68="",T68="",U68=""),"",F68*T68/U68)</x:f>
      </x:c>
    </x:row>
    <x:row r="69">
      <x:c r="R69" t="str">
        <x:f>IF(OR(E69="",G69=""),"",E69/G69)</x:f>
      </x:c>
      <x:c r="S69" t="str">
        <x:f>IF(OR(F69="",G69=""),"",F69/G69)</x:f>
      </x:c>
      <x:c r="T69" t="str">
        <x:f>IF(OR(H69="",I69="",J69=""),"",0.45*H69^2/(4*PI())+0.10*I69^2/(4*PI())+0.45*J69^2/(4*PI()))</x:f>
      </x:c>
      <x:c r="U69" t="str">
        <x:f>IF(G69="","",1.1*G69*100)</x:f>
      </x:c>
      <x:c r="V69" t="str">
        <x:f>IF(OR(E69="",T69="",U69=""),"",E69*T69/U69)</x:f>
      </x:c>
      <x:c r="W69" t="str">
        <x:f>IF(OR(F69="",T69="",U69=""),"",F69*T69/U69)</x:f>
      </x:c>
    </x:row>
    <x:row r="70">
      <x:c r="R70" t="str">
        <x:f>IF(OR(E70="",G70=""),"",E70/G70)</x:f>
      </x:c>
      <x:c r="S70" t="str">
        <x:f>IF(OR(F70="",G70=""),"",F70/G70)</x:f>
      </x:c>
      <x:c r="T70" t="str">
        <x:f>IF(OR(H70="",I70="",J70=""),"",0.45*H70^2/(4*PI())+0.10*I70^2/(4*PI())+0.45*J70^2/(4*PI()))</x:f>
      </x:c>
      <x:c r="U70" t="str">
        <x:f>IF(G70="","",1.1*G70*100)</x:f>
      </x:c>
      <x:c r="V70" t="str">
        <x:f>IF(OR(E70="",T70="",U70=""),"",E70*T70/U70)</x:f>
      </x:c>
      <x:c r="W70" t="str">
        <x:f>IF(OR(F70="",T70="",U70=""),"",F70*T70/U70)</x:f>
      </x:c>
    </x:row>
    <x:row r="71">
      <x:c r="R71" t="str">
        <x:f>IF(OR(E71="",G71=""),"",E71/G71)</x:f>
      </x:c>
      <x:c r="S71" t="str">
        <x:f>IF(OR(F71="",G71=""),"",F71/G71)</x:f>
      </x:c>
      <x:c r="T71" t="str">
        <x:f>IF(OR(H71="",I71="",J71=""),"",0.45*H71^2/(4*PI())+0.10*I71^2/(4*PI())+0.45*J71^2/(4*PI()))</x:f>
      </x:c>
      <x:c r="U71" t="str">
        <x:f>IF(G71="","",1.1*G71*100)</x:f>
      </x:c>
      <x:c r="V71" t="str">
        <x:f>IF(OR(E71="",T71="",U71=""),"",E71*T71/U71)</x:f>
      </x:c>
      <x:c r="W71" t="str">
        <x:f>IF(OR(F71="",T71="",U71=""),"",F71*T71/U71)</x:f>
      </x:c>
    </x:row>
    <x:row r="72">
      <x:c r="R72" t="str">
        <x:f>IF(OR(E72="",G72=""),"",E72/G72)</x:f>
      </x:c>
      <x:c r="S72" t="str">
        <x:f>IF(OR(F72="",G72=""),"",F72/G72)</x:f>
      </x:c>
      <x:c r="T72" t="str">
        <x:f>IF(OR(H72="",I72="",J72=""),"",0.45*H72^2/(4*PI())+0.10*I72^2/(4*PI())+0.45*J72^2/(4*PI()))</x:f>
      </x:c>
      <x:c r="U72" t="str">
        <x:f>IF(G72="","",1.1*G72*100)</x:f>
      </x:c>
      <x:c r="V72" t="str">
        <x:f>IF(OR(E72="",T72="",U72=""),"",E72*T72/U72)</x:f>
      </x:c>
      <x:c r="W72" t="str">
        <x:f>IF(OR(F72="",T72="",U72=""),"",F72*T72/U72)</x:f>
      </x:c>
    </x:row>
    <x:row r="73">
      <x:c r="R73" t="str">
        <x:f>IF(OR(E73="",G73=""),"",E73/G73)</x:f>
      </x:c>
      <x:c r="S73" t="str">
        <x:f>IF(OR(F73="",G73=""),"",F73/G73)</x:f>
      </x:c>
      <x:c r="T73" t="str">
        <x:f>IF(OR(H73="",I73="",J73=""),"",0.45*H73^2/(4*PI())+0.10*I73^2/(4*PI())+0.45*J73^2/(4*PI()))</x:f>
      </x:c>
      <x:c r="U73" t="str">
        <x:f>IF(G73="","",1.1*G73*100)</x:f>
      </x:c>
      <x:c r="V73" t="str">
        <x:f>IF(OR(E73="",T73="",U73=""),"",E73*T73/U73)</x:f>
      </x:c>
      <x:c r="W73" t="str">
        <x:f>IF(OR(F73="",T73="",U73=""),"",F73*T73/U73)</x:f>
      </x:c>
    </x:row>
    <x:row r="74">
      <x:c r="R74" t="str">
        <x:f>IF(OR(E74="",G74=""),"",E74/G74)</x:f>
      </x:c>
      <x:c r="S74" t="str">
        <x:f>IF(OR(F74="",G74=""),"",F74/G74)</x:f>
      </x:c>
      <x:c r="T74" t="str">
        <x:f>IF(OR(H74="",I74="",J74=""),"",0.45*H74^2/(4*PI())+0.10*I74^2/(4*PI())+0.45*J74^2/(4*PI()))</x:f>
      </x:c>
      <x:c r="U74" t="str">
        <x:f>IF(G74="","",1.1*G74*100)</x:f>
      </x:c>
      <x:c r="V74" t="str">
        <x:f>IF(OR(E74="",T74="",U74=""),"",E74*T74/U74)</x:f>
      </x:c>
      <x:c r="W74" t="str">
        <x:f>IF(OR(F74="",T74="",U74=""),"",F74*T74/U74)</x:f>
      </x:c>
    </x:row>
    <x:row r="75">
      <x:c r="R75" t="str">
        <x:f>IF(OR(E75="",G75=""),"",E75/G75)</x:f>
      </x:c>
      <x:c r="S75" t="str">
        <x:f>IF(OR(F75="",G75=""),"",F75/G75)</x:f>
      </x:c>
      <x:c r="T75" t="str">
        <x:f>IF(OR(H75="",I75="",J75=""),"",0.45*H75^2/(4*PI())+0.10*I75^2/(4*PI())+0.45*J75^2/(4*PI()))</x:f>
      </x:c>
      <x:c r="U75" t="str">
        <x:f>IF(G75="","",1.1*G75*100)</x:f>
      </x:c>
      <x:c r="V75" t="str">
        <x:f>IF(OR(E75="",T75="",U75=""),"",E75*T75/U75)</x:f>
      </x:c>
      <x:c r="W75" t="str">
        <x:f>IF(OR(F75="",T75="",U75=""),"",F75*T75/U75)</x:f>
      </x:c>
    </x:row>
    <x:row r="76">
      <x:c r="R76" t="str">
        <x:f>IF(OR(E76="",G76=""),"",E76/G76)</x:f>
      </x:c>
      <x:c r="S76" t="str">
        <x:f>IF(OR(F76="",G76=""),"",F76/G76)</x:f>
      </x:c>
      <x:c r="T76" t="str">
        <x:f>IF(OR(H76="",I76="",J76=""),"",0.45*H76^2/(4*PI())+0.10*I76^2/(4*PI())+0.45*J76^2/(4*PI()))</x:f>
      </x:c>
      <x:c r="U76" t="str">
        <x:f>IF(G76="","",1.1*G76*100)</x:f>
      </x:c>
      <x:c r="V76" t="str">
        <x:f>IF(OR(E76="",T76="",U76=""),"",E76*T76/U76)</x:f>
      </x:c>
      <x:c r="W76" t="str">
        <x:f>IF(OR(F76="",T76="",U76=""),"",F76*T76/U76)</x:f>
      </x:c>
    </x:row>
    <x:row r="77">
      <x:c r="R77" t="str">
        <x:f>IF(OR(E77="",G77=""),"",E77/G77)</x:f>
      </x:c>
      <x:c r="S77" t="str">
        <x:f>IF(OR(F77="",G77=""),"",F77/G77)</x:f>
      </x:c>
      <x:c r="T77" t="str">
        <x:f>IF(OR(H77="",I77="",J77=""),"",0.45*H77^2/(4*PI())+0.10*I77^2/(4*PI())+0.45*J77^2/(4*PI()))</x:f>
      </x:c>
      <x:c r="U77" t="str">
        <x:f>IF(G77="","",1.1*G77*100)</x:f>
      </x:c>
      <x:c r="V77" t="str">
        <x:f>IF(OR(E77="",T77="",U77=""),"",E77*T77/U77)</x:f>
      </x:c>
      <x:c r="W77" t="str">
        <x:f>IF(OR(F77="",T77="",U77=""),"",F77*T77/U77)</x:f>
      </x:c>
    </x:row>
    <x:row r="78">
      <x:c r="R78" t="str">
        <x:f>IF(OR(E78="",G78=""),"",E78/G78)</x:f>
      </x:c>
      <x:c r="S78" t="str">
        <x:f>IF(OR(F78="",G78=""),"",F78/G78)</x:f>
      </x:c>
      <x:c r="T78" t="str">
        <x:f>IF(OR(H78="",I78="",J78=""),"",0.45*H78^2/(4*PI())+0.10*I78^2/(4*PI())+0.45*J78^2/(4*PI()))</x:f>
      </x:c>
      <x:c r="U78" t="str">
        <x:f>IF(G78="","",1.1*G78*100)</x:f>
      </x:c>
      <x:c r="V78" t="str">
        <x:f>IF(OR(E78="",T78="",U78=""),"",E78*T78/U78)</x:f>
      </x:c>
      <x:c r="W78" t="str">
        <x:f>IF(OR(F78="",T78="",U78=""),"",F78*T78/U78)</x:f>
      </x:c>
    </x:row>
    <x:row r="79">
      <x:c r="R79" t="str">
        <x:f>IF(OR(E79="",G79=""),"",E79/G79)</x:f>
      </x:c>
      <x:c r="S79" t="str">
        <x:f>IF(OR(F79="",G79=""),"",F79/G79)</x:f>
      </x:c>
      <x:c r="T79" t="str">
        <x:f>IF(OR(H79="",I79="",J79=""),"",0.45*H79^2/(4*PI())+0.10*I79^2/(4*PI())+0.45*J79^2/(4*PI()))</x:f>
      </x:c>
      <x:c r="U79" t="str">
        <x:f>IF(G79="","",1.1*G79*100)</x:f>
      </x:c>
      <x:c r="V79" t="str">
        <x:f>IF(OR(E79="",T79="",U79=""),"",E79*T79/U79)</x:f>
      </x:c>
      <x:c r="W79" t="str">
        <x:f>IF(OR(F79="",T79="",U79=""),"",F79*T79/U79)</x:f>
      </x:c>
    </x:row>
    <x:row r="80">
      <x:c r="R80" t="str">
        <x:f>IF(OR(E80="",G80=""),"",E80/G80)</x:f>
      </x:c>
      <x:c r="S80" t="str">
        <x:f>IF(OR(F80="",G80=""),"",F80/G80)</x:f>
      </x:c>
      <x:c r="T80" t="str">
        <x:f>IF(OR(H80="",I80="",J80=""),"",0.45*H80^2/(4*PI())+0.10*I80^2/(4*PI())+0.45*J80^2/(4*PI()))</x:f>
      </x:c>
      <x:c r="U80" t="str">
        <x:f>IF(G80="","",1.1*G80*100)</x:f>
      </x:c>
      <x:c r="V80" t="str">
        <x:f>IF(OR(E80="",T80="",U80=""),"",E80*T80/U80)</x:f>
      </x:c>
      <x:c r="W80" t="str">
        <x:f>IF(OR(F80="",T80="",U80=""),"",F80*T80/U80)</x:f>
      </x:c>
    </x:row>
    <x:row r="81">
      <x:c r="R81" t="str">
        <x:f>IF(OR(E81="",G81=""),"",E81/G81)</x:f>
      </x:c>
      <x:c r="S81" t="str">
        <x:f>IF(OR(F81="",G81=""),"",F81/G81)</x:f>
      </x:c>
      <x:c r="T81" t="str">
        <x:f>IF(OR(H81="",I81="",J81=""),"",0.45*H81^2/(4*PI())+0.10*I81^2/(4*PI())+0.45*J81^2/(4*PI()))</x:f>
      </x:c>
      <x:c r="U81" t="str">
        <x:f>IF(G81="","",1.1*G81*100)</x:f>
      </x:c>
      <x:c r="V81" t="str">
        <x:f>IF(OR(E81="",T81="",U81=""),"",E81*T81/U81)</x:f>
      </x:c>
      <x:c r="W81" t="str">
        <x:f>IF(OR(F81="",T81="",U81=""),"",F81*T81/U81)</x:f>
      </x:c>
    </x:row>
    <x:row r="82">
      <x:c r="R82" t="str">
        <x:f>IF(OR(E82="",G82=""),"",E82/G82)</x:f>
      </x:c>
      <x:c r="S82" t="str">
        <x:f>IF(OR(F82="",G82=""),"",F82/G82)</x:f>
      </x:c>
      <x:c r="T82" t="str">
        <x:f>IF(OR(H82="",I82="",J82=""),"",0.45*H82^2/(4*PI())+0.10*I82^2/(4*PI())+0.45*J82^2/(4*PI()))</x:f>
      </x:c>
      <x:c r="U82" t="str">
        <x:f>IF(G82="","",1.1*G82*100)</x:f>
      </x:c>
      <x:c r="V82" t="str">
        <x:f>IF(OR(E82="",T82="",U82=""),"",E82*T82/U82)</x:f>
      </x:c>
      <x:c r="W82" t="str">
        <x:f>IF(OR(F82="",T82="",U82=""),"",F82*T82/U82)</x:f>
      </x:c>
    </x:row>
    <x:row r="83">
      <x:c r="R83" t="str">
        <x:f>IF(OR(E83="",G83=""),"",E83/G83)</x:f>
      </x:c>
      <x:c r="S83" t="str">
        <x:f>IF(OR(F83="",G83=""),"",F83/G83)</x:f>
      </x:c>
      <x:c r="T83" t="str">
        <x:f>IF(OR(H83="",I83="",J83=""),"",0.45*H83^2/(4*PI())+0.10*I83^2/(4*PI())+0.45*J83^2/(4*PI()))</x:f>
      </x:c>
      <x:c r="U83" t="str">
        <x:f>IF(G83="","",1.1*G83*100)</x:f>
      </x:c>
      <x:c r="V83" t="str">
        <x:f>IF(OR(E83="",T83="",U83=""),"",E83*T83/U83)</x:f>
      </x:c>
      <x:c r="W83" t="str">
        <x:f>IF(OR(F83="",T83="",U83=""),"",F83*T83/U83)</x:f>
      </x:c>
    </x:row>
    <x:row r="84">
      <x:c r="R84" t="str">
        <x:f>IF(OR(E84="",G84=""),"",E84/G84)</x:f>
      </x:c>
      <x:c r="S84" t="str">
        <x:f>IF(OR(F84="",G84=""),"",F84/G84)</x:f>
      </x:c>
      <x:c r="T84" t="str">
        <x:f>IF(OR(H84="",I84="",J84=""),"",0.45*H84^2/(4*PI())+0.10*I84^2/(4*PI())+0.45*J84^2/(4*PI()))</x:f>
      </x:c>
      <x:c r="U84" t="str">
        <x:f>IF(G84="","",1.1*G84*100)</x:f>
      </x:c>
      <x:c r="V84" t="str">
        <x:f>IF(OR(E84="",T84="",U84=""),"",E84*T84/U84)</x:f>
      </x:c>
      <x:c r="W84" t="str">
        <x:f>IF(OR(F84="",T84="",U84=""),"",F84*T84/U84)</x:f>
      </x:c>
    </x:row>
    <x:row r="85">
      <x:c r="R85" t="str">
        <x:f>IF(OR(E85="",G85=""),"",E85/G85)</x:f>
      </x:c>
      <x:c r="S85" t="str">
        <x:f>IF(OR(F85="",G85=""),"",F85/G85)</x:f>
      </x:c>
      <x:c r="T85" t="str">
        <x:f>IF(OR(H85="",I85="",J85=""),"",0.45*H85^2/(4*PI())+0.10*I85^2/(4*PI())+0.45*J85^2/(4*PI()))</x:f>
      </x:c>
      <x:c r="U85" t="str">
        <x:f>IF(G85="","",1.1*G85*100)</x:f>
      </x:c>
      <x:c r="V85" t="str">
        <x:f>IF(OR(E85="",T85="",U85=""),"",E85*T85/U85)</x:f>
      </x:c>
      <x:c r="W85" t="str">
        <x:f>IF(OR(F85="",T85="",U85=""),"",F85*T85/U85)</x:f>
      </x:c>
    </x:row>
    <x:row r="86">
      <x:c r="R86" t="str">
        <x:f>IF(OR(E86="",G86=""),"",E86/G86)</x:f>
      </x:c>
      <x:c r="S86" t="str">
        <x:f>IF(OR(F86="",G86=""),"",F86/G86)</x:f>
      </x:c>
      <x:c r="T86" t="str">
        <x:f>IF(OR(H86="",I86="",J86=""),"",0.45*H86^2/(4*PI())+0.10*I86^2/(4*PI())+0.45*J86^2/(4*PI()))</x:f>
      </x:c>
      <x:c r="U86" t="str">
        <x:f>IF(G86="","",1.1*G86*100)</x:f>
      </x:c>
      <x:c r="V86" t="str">
        <x:f>IF(OR(E86="",T86="",U86=""),"",E86*T86/U86)</x:f>
      </x:c>
      <x:c r="W86" t="str">
        <x:f>IF(OR(F86="",T86="",U86=""),"",F86*T86/U86)</x:f>
      </x:c>
    </x:row>
    <x:row r="87">
      <x:c r="R87" t="str">
        <x:f>IF(OR(E87="",G87=""),"",E87/G87)</x:f>
      </x:c>
      <x:c r="S87" t="str">
        <x:f>IF(OR(F87="",G87=""),"",F87/G87)</x:f>
      </x:c>
      <x:c r="T87" t="str">
        <x:f>IF(OR(H87="",I87="",J87=""),"",0.45*H87^2/(4*PI())+0.10*I87^2/(4*PI())+0.45*J87^2/(4*PI()))</x:f>
      </x:c>
      <x:c r="U87" t="str">
        <x:f>IF(G87="","",1.1*G87*100)</x:f>
      </x:c>
      <x:c r="V87" t="str">
        <x:f>IF(OR(E87="",T87="",U87=""),"",E87*T87/U87)</x:f>
      </x:c>
      <x:c r="W87" t="str">
        <x:f>IF(OR(F87="",T87="",U87=""),"",F87*T87/U87)</x:f>
      </x:c>
    </x:row>
    <x:row r="88">
      <x:c r="R88" t="str">
        <x:f>IF(OR(E88="",G88=""),"",E88/G88)</x:f>
      </x:c>
      <x:c r="S88" t="str">
        <x:f>IF(OR(F88="",G88=""),"",F88/G88)</x:f>
      </x:c>
      <x:c r="T88" t="str">
        <x:f>IF(OR(H88="",I88="",J88=""),"",0.45*H88^2/(4*PI())+0.10*I88^2/(4*PI())+0.45*J88^2/(4*PI()))</x:f>
      </x:c>
      <x:c r="U88" t="str">
        <x:f>IF(G88="","",1.1*G88*100)</x:f>
      </x:c>
      <x:c r="V88" t="str">
        <x:f>IF(OR(E88="",T88="",U88=""),"",E88*T88/U88)</x:f>
      </x:c>
      <x:c r="W88" t="str">
        <x:f>IF(OR(F88="",T88="",U88=""),"",F88*T88/U88)</x:f>
      </x:c>
    </x:row>
    <x:row r="89">
      <x:c r="R89" t="str">
        <x:f>IF(OR(E89="",G89=""),"",E89/G89)</x:f>
      </x:c>
      <x:c r="S89" t="str">
        <x:f>IF(OR(F89="",G89=""),"",F89/G89)</x:f>
      </x:c>
      <x:c r="T89" t="str">
        <x:f>IF(OR(H89="",I89="",J89=""),"",0.45*H89^2/(4*PI())+0.10*I89^2/(4*PI())+0.45*J89^2/(4*PI()))</x:f>
      </x:c>
      <x:c r="U89" t="str">
        <x:f>IF(G89="","",1.1*G89*100)</x:f>
      </x:c>
      <x:c r="V89" t="str">
        <x:f>IF(OR(E89="",T89="",U89=""),"",E89*T89/U89)</x:f>
      </x:c>
      <x:c r="W89" t="str">
        <x:f>IF(OR(F89="",T89="",U89=""),"",F89*T89/U89)</x:f>
      </x:c>
    </x:row>
    <x:row r="90">
      <x:c r="R90" t="str">
        <x:f>IF(OR(E90="",G90=""),"",E90/G90)</x:f>
      </x:c>
      <x:c r="S90" t="str">
        <x:f>IF(OR(F90="",G90=""),"",F90/G90)</x:f>
      </x:c>
      <x:c r="T90" t="str">
        <x:f>IF(OR(H90="",I90="",J90=""),"",0.45*H90^2/(4*PI())+0.10*I90^2/(4*PI())+0.45*J90^2/(4*PI()))</x:f>
      </x:c>
      <x:c r="U90" t="str">
        <x:f>IF(G90="","",1.1*G90*100)</x:f>
      </x:c>
      <x:c r="V90" t="str">
        <x:f>IF(OR(E90="",T90="",U90=""),"",E90*T90/U90)</x:f>
      </x:c>
      <x:c r="W90" t="str">
        <x:f>IF(OR(F90="",T90="",U90=""),"",F90*T90/U90)</x:f>
      </x:c>
    </x:row>
    <x:row r="91">
      <x:c r="R91" t="str">
        <x:f>IF(OR(E91="",G91=""),"",E91/G91)</x:f>
      </x:c>
      <x:c r="S91" t="str">
        <x:f>IF(OR(F91="",G91=""),"",F91/G91)</x:f>
      </x:c>
      <x:c r="T91" t="str">
        <x:f>IF(OR(H91="",I91="",J91=""),"",0.45*H91^2/(4*PI())+0.10*I91^2/(4*PI())+0.45*J91^2/(4*PI()))</x:f>
      </x:c>
      <x:c r="U91" t="str">
        <x:f>IF(G91="","",1.1*G91*100)</x:f>
      </x:c>
      <x:c r="V91" t="str">
        <x:f>IF(OR(E91="",T91="",U91=""),"",E91*T91/U91)</x:f>
      </x:c>
      <x:c r="W91" t="str">
        <x:f>IF(OR(F91="",T91="",U91=""),"",F91*T91/U91)</x:f>
      </x:c>
    </x:row>
    <x:row r="92">
      <x:c r="R92" t="str">
        <x:f>IF(OR(E92="",G92=""),"",E92/G92)</x:f>
      </x:c>
      <x:c r="S92" t="str">
        <x:f>IF(OR(F92="",G92=""),"",F92/G92)</x:f>
      </x:c>
      <x:c r="T92" t="str">
        <x:f>IF(OR(H92="",I92="",J92=""),"",0.45*H92^2/(4*PI())+0.10*I92^2/(4*PI())+0.45*J92^2/(4*PI()))</x:f>
      </x:c>
      <x:c r="U92" t="str">
        <x:f>IF(G92="","",1.1*G92*100)</x:f>
      </x:c>
      <x:c r="V92" t="str">
        <x:f>IF(OR(E92="",T92="",U92=""),"",E92*T92/U92)</x:f>
      </x:c>
      <x:c r="W92" t="str">
        <x:f>IF(OR(F92="",T92="",U92=""),"",F92*T92/U92)</x:f>
      </x:c>
    </x:row>
    <x:row r="93">
      <x:c r="R93" t="str">
        <x:f>IF(OR(E93="",G93=""),"",E93/G93)</x:f>
      </x:c>
      <x:c r="S93" t="str">
        <x:f>IF(OR(F93="",G93=""),"",F93/G93)</x:f>
      </x:c>
      <x:c r="T93" t="str">
        <x:f>IF(OR(H93="",I93="",J93=""),"",0.45*H93^2/(4*PI())+0.10*I93^2/(4*PI())+0.45*J93^2/(4*PI()))</x:f>
      </x:c>
      <x:c r="U93" t="str">
        <x:f>IF(G93="","",1.1*G93*100)</x:f>
      </x:c>
      <x:c r="V93" t="str">
        <x:f>IF(OR(E93="",T93="",U93=""),"",E93*T93/U93)</x:f>
      </x:c>
      <x:c r="W93" t="str">
        <x:f>IF(OR(F93="",T93="",U93=""),"",F93*T93/U93)</x:f>
      </x:c>
    </x:row>
    <x:row r="94">
      <x:c r="R94" t="str">
        <x:f>IF(OR(E94="",G94=""),"",E94/G94)</x:f>
      </x:c>
      <x:c r="S94" t="str">
        <x:f>IF(OR(F94="",G94=""),"",F94/G94)</x:f>
      </x:c>
      <x:c r="T94" t="str">
        <x:f>IF(OR(H94="",I94="",J94=""),"",0.45*H94^2/(4*PI())+0.10*I94^2/(4*PI())+0.45*J94^2/(4*PI()))</x:f>
      </x:c>
      <x:c r="U94" t="str">
        <x:f>IF(G94="","",1.1*G94*100)</x:f>
      </x:c>
      <x:c r="V94" t="str">
        <x:f>IF(OR(E94="",T94="",U94=""),"",E94*T94/U94)</x:f>
      </x:c>
      <x:c r="W94" t="str">
        <x:f>IF(OR(F94="",T94="",U94=""),"",F94*T94/U94)</x:f>
      </x:c>
    </x:row>
    <x:row r="95">
      <x:c r="R95" t="str">
        <x:f>IF(OR(E95="",G95=""),"",E95/G95)</x:f>
      </x:c>
      <x:c r="S95" t="str">
        <x:f>IF(OR(F95="",G95=""),"",F95/G95)</x:f>
      </x:c>
      <x:c r="T95" t="str">
        <x:f>IF(OR(H95="",I95="",J95=""),"",0.45*H95^2/(4*PI())+0.10*I95^2/(4*PI())+0.45*J95^2/(4*PI()))</x:f>
      </x:c>
      <x:c r="U95" t="str">
        <x:f>IF(G95="","",1.1*G95*100)</x:f>
      </x:c>
      <x:c r="V95" t="str">
        <x:f>IF(OR(E95="",T95="",U95=""),"",E95*T95/U95)</x:f>
      </x:c>
      <x:c r="W95" t="str">
        <x:f>IF(OR(F95="",T95="",U95=""),"",F95*T95/U95)</x:f>
      </x:c>
    </x:row>
    <x:row r="96">
      <x:c r="R96" t="str">
        <x:f>IF(OR(E96="",G96=""),"",E96/G96)</x:f>
      </x:c>
      <x:c r="S96" t="str">
        <x:f>IF(OR(F96="",G96=""),"",F96/G96)</x:f>
      </x:c>
      <x:c r="T96" t="str">
        <x:f>IF(OR(H96="",I96="",J96=""),"",0.45*H96^2/(4*PI())+0.10*I96^2/(4*PI())+0.45*J96^2/(4*PI()))</x:f>
      </x:c>
      <x:c r="U96" t="str">
        <x:f>IF(G96="","",1.1*G96*100)</x:f>
      </x:c>
      <x:c r="V96" t="str">
        <x:f>IF(OR(E96="",T96="",U96=""),"",E96*T96/U96)</x:f>
      </x:c>
      <x:c r="W96" t="str">
        <x:f>IF(OR(F96="",T96="",U96=""),"",F96*T96/U96)</x:f>
      </x:c>
    </x:row>
    <x:row r="97">
      <x:c r="R97" t="str">
        <x:f>IF(OR(E97="",G97=""),"",E97/G97)</x:f>
      </x:c>
      <x:c r="S97" t="str">
        <x:f>IF(OR(F97="",G97=""),"",F97/G97)</x:f>
      </x:c>
      <x:c r="T97" t="str">
        <x:f>IF(OR(H97="",I97="",J97=""),"",0.45*H97^2/(4*PI())+0.10*I97^2/(4*PI())+0.45*J97^2/(4*PI()))</x:f>
      </x:c>
      <x:c r="U97" t="str">
        <x:f>IF(G97="","",1.1*G97*100)</x:f>
      </x:c>
      <x:c r="V97" t="str">
        <x:f>IF(OR(E97="",T97="",U97=""),"",E97*T97/U97)</x:f>
      </x:c>
      <x:c r="W97" t="str">
        <x:f>IF(OR(F97="",T97="",U97=""),"",F97*T97/U97)</x:f>
      </x:c>
    </x:row>
    <x:row r="98">
      <x:c r="R98" t="str">
        <x:f>IF(OR(E98="",G98=""),"",E98/G98)</x:f>
      </x:c>
      <x:c r="S98" t="str">
        <x:f>IF(OR(F98="",G98=""),"",F98/G98)</x:f>
      </x:c>
      <x:c r="T98" t="str">
        <x:f>IF(OR(H98="",I98="",J98=""),"",0.45*H98^2/(4*PI())+0.10*I98^2/(4*PI())+0.45*J98^2/(4*PI()))</x:f>
      </x:c>
      <x:c r="U98" t="str">
        <x:f>IF(G98="","",1.1*G98*100)</x:f>
      </x:c>
      <x:c r="V98" t="str">
        <x:f>IF(OR(E98="",T98="",U98=""),"",E98*T98/U98)</x:f>
      </x:c>
      <x:c r="W98" t="str">
        <x:f>IF(OR(F98="",T98="",U98=""),"",F98*T98/U98)</x:f>
      </x:c>
    </x:row>
    <x:row r="99">
      <x:c r="R99" t="str">
        <x:f>IF(OR(E99="",G99=""),"",E99/G99)</x:f>
      </x:c>
      <x:c r="S99" t="str">
        <x:f>IF(OR(F99="",G99=""),"",F99/G99)</x:f>
      </x:c>
      <x:c r="T99" t="str">
        <x:f>IF(OR(H99="",I99="",J99=""),"",0.45*H99^2/(4*PI())+0.10*I99^2/(4*PI())+0.45*J99^2/(4*PI()))</x:f>
      </x:c>
      <x:c r="U99" t="str">
        <x:f>IF(G99="","",1.1*G99*100)</x:f>
      </x:c>
      <x:c r="V99" t="str">
        <x:f>IF(OR(E99="",T99="",U99=""),"",E99*T99/U99)</x:f>
      </x:c>
      <x:c r="W99" t="str">
        <x:f>IF(OR(F99="",T99="",U99=""),"",F99*T99/U99)</x:f>
      </x:c>
    </x:row>
    <x:row r="100">
      <x:c r="R100" t="str">
        <x:f>IF(OR(E100="",G100=""),"",E100/G100)</x:f>
      </x:c>
      <x:c r="S100" t="str">
        <x:f>IF(OR(F100="",G100=""),"",F100/G100)</x:f>
      </x:c>
      <x:c r="T100" t="str">
        <x:f>IF(OR(H100="",I100="",J100=""),"",0.45*H100^2/(4*PI())+0.10*I100^2/(4*PI())+0.45*J100^2/(4*PI()))</x:f>
      </x:c>
      <x:c r="U100" t="str">
        <x:f>IF(G100="","",1.1*G100*100)</x:f>
      </x:c>
      <x:c r="V100" t="str">
        <x:f>IF(OR(E100="",T100="",U100=""),"",E100*T100/U100)</x:f>
      </x:c>
      <x:c r="W100" t="str">
        <x:f>IF(OR(F100="",T100="",U100=""),"",F100*T100/U100)</x:f>
      </x:c>
    </x:row>
    <x:row r="101">
      <x:c r="R101" t="str">
        <x:f>IF(OR(E101="",G101=""),"",E101/G101)</x:f>
      </x:c>
      <x:c r="S101" t="str">
        <x:f>IF(OR(F101="",G101=""),"",F101/G101)</x:f>
      </x:c>
      <x:c r="T101" t="str">
        <x:f>IF(OR(H101="",I101="",J101=""),"",0.45*H101^2/(4*PI())+0.10*I101^2/(4*PI())+0.45*J101^2/(4*PI()))</x:f>
      </x:c>
      <x:c r="U101" t="str">
        <x:f>IF(G101="","",1.1*G101*100)</x:f>
      </x:c>
      <x:c r="V101" t="str">
        <x:f>IF(OR(E101="",T101="",U101=""),"",E101*T101/U101)</x:f>
      </x:c>
      <x:c r="W101" t="str">
        <x:f>IF(OR(F101="",T101="",U101=""),"",F101*T101/U101)</x:f>
      </x:c>
    </x:row>
    <x:row r="102">
      <x:c r="R102" t="str">
        <x:f>IF(OR(E102="",G102=""),"",E102/G102)</x:f>
      </x:c>
      <x:c r="S102" t="str">
        <x:f>IF(OR(F102="",G102=""),"",F102/G102)</x:f>
      </x:c>
      <x:c r="T102" t="str">
        <x:f>IF(OR(H102="",I102="",J102=""),"",0.45*H102^2/(4*PI())+0.10*I102^2/(4*PI())+0.45*J102^2/(4*PI()))</x:f>
      </x:c>
      <x:c r="U102" t="str">
        <x:f>IF(G102="","",1.1*G102*100)</x:f>
      </x:c>
      <x:c r="V102" t="str">
        <x:f>IF(OR(E102="",T102="",U102=""),"",E102*T102/U102)</x:f>
      </x:c>
      <x:c r="W102" t="str">
        <x:f>IF(OR(F102="",T102="",U102=""),"",F102*T102/U102)</x:f>
      </x:c>
    </x:row>
    <x:row r="103">
      <x:c r="R103" t="str">
        <x:f>IF(OR(E103="",G103=""),"",E103/G103)</x:f>
      </x:c>
      <x:c r="S103" t="str">
        <x:f>IF(OR(F103="",G103=""),"",F103/G103)</x:f>
      </x:c>
      <x:c r="T103" t="str">
        <x:f>IF(OR(H103="",I103="",J103=""),"",0.45*H103^2/(4*PI())+0.10*I103^2/(4*PI())+0.45*J103^2/(4*PI()))</x:f>
      </x:c>
      <x:c r="U103" t="str">
        <x:f>IF(G103="","",1.1*G103*100)</x:f>
      </x:c>
      <x:c r="V103" t="str">
        <x:f>IF(OR(E103="",T103="",U103=""),"",E103*T103/U103)</x:f>
      </x:c>
      <x:c r="W103" t="str">
        <x:f>IF(OR(F103="",T103="",U103=""),"",F103*T103/U103)</x:f>
      </x:c>
    </x:row>
    <x:row r="104">
      <x:c r="R104" t="str">
        <x:f>IF(OR(E104="",G104=""),"",E104/G104)</x:f>
      </x:c>
      <x:c r="S104" t="str">
        <x:f>IF(OR(F104="",G104=""),"",F104/G104)</x:f>
      </x:c>
      <x:c r="T104" t="str">
        <x:f>IF(OR(H104="",I104="",J104=""),"",0.45*H104^2/(4*PI())+0.10*I104^2/(4*PI())+0.45*J104^2/(4*PI()))</x:f>
      </x:c>
      <x:c r="U104" t="str">
        <x:f>IF(G104="","",1.1*G104*100)</x:f>
      </x:c>
      <x:c r="V104" t="str">
        <x:f>IF(OR(E104="",T104="",U104=""),"",E104*T104/U104)</x:f>
      </x:c>
      <x:c r="W104" t="str">
        <x:f>IF(OR(F104="",T104="",U104=""),"",F104*T104/U104)</x:f>
      </x:c>
    </x:row>
    <x:row r="105">
      <x:c r="R105" t="str">
        <x:f>IF(OR(E105="",G105=""),"",E105/G105)</x:f>
      </x:c>
      <x:c r="S105" t="str">
        <x:f>IF(OR(F105="",G105=""),"",F105/G105)</x:f>
      </x:c>
      <x:c r="T105" t="str">
        <x:f>IF(OR(H105="",I105="",J105=""),"",0.45*H105^2/(4*PI())+0.10*I105^2/(4*PI())+0.45*J105^2/(4*PI()))</x:f>
      </x:c>
      <x:c r="U105" t="str">
        <x:f>IF(G105="","",1.1*G105*100)</x:f>
      </x:c>
      <x:c r="V105" t="str">
        <x:f>IF(OR(E105="",T105="",U105=""),"",E105*T105/U105)</x:f>
      </x:c>
      <x:c r="W105" t="str">
        <x:f>IF(OR(F105="",T105="",U105=""),"",F105*T105/U105)</x:f>
      </x:c>
    </x:row>
    <x:row r="106">
      <x:c r="R106" t="str">
        <x:f>IF(OR(E106="",G106=""),"",E106/G106)</x:f>
      </x:c>
      <x:c r="S106" t="str">
        <x:f>IF(OR(F106="",G106=""),"",F106/G106)</x:f>
      </x:c>
      <x:c r="T106" t="str">
        <x:f>IF(OR(H106="",I106="",J106=""),"",0.45*H106^2/(4*PI())+0.10*I106^2/(4*PI())+0.45*J106^2/(4*PI()))</x:f>
      </x:c>
      <x:c r="U106" t="str">
        <x:f>IF(G106="","",1.1*G106*100)</x:f>
      </x:c>
      <x:c r="V106" t="str">
        <x:f>IF(OR(E106="",T106="",U106=""),"",E106*T106/U106)</x:f>
      </x:c>
      <x:c r="W106" t="str">
        <x:f>IF(OR(F106="",T106="",U106=""),"",F106*T106/U106)</x:f>
      </x:c>
    </x:row>
    <x:row r="107">
      <x:c r="R107" t="str">
        <x:f>IF(OR(E107="",G107=""),"",E107/G107)</x:f>
      </x:c>
      <x:c r="S107" t="str">
        <x:f>IF(OR(F107="",G107=""),"",F107/G107)</x:f>
      </x:c>
      <x:c r="T107" t="str">
        <x:f>IF(OR(H107="",I107="",J107=""),"",0.45*H107^2/(4*PI())+0.10*I107^2/(4*PI())+0.45*J107^2/(4*PI()))</x:f>
      </x:c>
      <x:c r="U107" t="str">
        <x:f>IF(G107="","",1.1*G107*100)</x:f>
      </x:c>
      <x:c r="V107" t="str">
        <x:f>IF(OR(E107="",T107="",U107=""),"",E107*T107/U107)</x:f>
      </x:c>
      <x:c r="W107" t="str">
        <x:f>IF(OR(F107="",T107="",U107=""),"",F107*T107/U107)</x:f>
      </x:c>
    </x:row>
    <x:row r="108">
      <x:c r="R108" t="str">
        <x:f>IF(OR(E108="",G108=""),"",E108/G108)</x:f>
      </x:c>
      <x:c r="S108" t="str">
        <x:f>IF(OR(F108="",G108=""),"",F108/G108)</x:f>
      </x:c>
      <x:c r="T108" t="str">
        <x:f>IF(OR(H108="",I108="",J108=""),"",0.45*H108^2/(4*PI())+0.10*I108^2/(4*PI())+0.45*J108^2/(4*PI()))</x:f>
      </x:c>
      <x:c r="U108" t="str">
        <x:f>IF(G108="","",1.1*G108*100)</x:f>
      </x:c>
      <x:c r="V108" t="str">
        <x:f>IF(OR(E108="",T108="",U108=""),"",E108*T108/U108)</x:f>
      </x:c>
      <x:c r="W108" t="str">
        <x:f>IF(OR(F108="",T108="",U108=""),"",F108*T108/U108)</x:f>
      </x:c>
    </x:row>
    <x:row r="109">
      <x:c r="R109" t="str">
        <x:f>IF(OR(E109="",G109=""),"",E109/G109)</x:f>
      </x:c>
      <x:c r="S109" t="str">
        <x:f>IF(OR(F109="",G109=""),"",F109/G109)</x:f>
      </x:c>
      <x:c r="T109" t="str">
        <x:f>IF(OR(H109="",I109="",J109=""),"",0.45*H109^2/(4*PI())+0.10*I109^2/(4*PI())+0.45*J109^2/(4*PI()))</x:f>
      </x:c>
      <x:c r="U109" t="str">
        <x:f>IF(G109="","",1.1*G109*100)</x:f>
      </x:c>
      <x:c r="V109" t="str">
        <x:f>IF(OR(E109="",T109="",U109=""),"",E109*T109/U109)</x:f>
      </x:c>
      <x:c r="W109" t="str">
        <x:f>IF(OR(F109="",T109="",U109=""),"",F109*T109/U109)</x:f>
      </x:c>
    </x:row>
    <x:row r="110">
      <x:c r="R110" t="str">
        <x:f>IF(OR(E110="",G110=""),"",E110/G110)</x:f>
      </x:c>
      <x:c r="S110" t="str">
        <x:f>IF(OR(F110="",G110=""),"",F110/G110)</x:f>
      </x:c>
      <x:c r="T110" t="str">
        <x:f>IF(OR(H110="",I110="",J110=""),"",0.45*H110^2/(4*PI())+0.10*I110^2/(4*PI())+0.45*J110^2/(4*PI()))</x:f>
      </x:c>
      <x:c r="U110" t="str">
        <x:f>IF(G110="","",1.1*G110*100)</x:f>
      </x:c>
      <x:c r="V110" t="str">
        <x:f>IF(OR(E110="",T110="",U110=""),"",E110*T110/U110)</x:f>
      </x:c>
      <x:c r="W110" t="str">
        <x:f>IF(OR(F110="",T110="",U110=""),"",F110*T110/U110)</x:f>
      </x:c>
    </x:row>
    <x:row r="111">
      <x:c r="R111" t="str">
        <x:f>IF(OR(E111="",G111=""),"",E111/G111)</x:f>
      </x:c>
      <x:c r="S111" t="str">
        <x:f>IF(OR(F111="",G111=""),"",F111/G111)</x:f>
      </x:c>
      <x:c r="T111" t="str">
        <x:f>IF(OR(H111="",I111="",J111=""),"",0.45*H111^2/(4*PI())+0.10*I111^2/(4*PI())+0.45*J111^2/(4*PI()))</x:f>
      </x:c>
      <x:c r="U111" t="str">
        <x:f>IF(G111="","",1.1*G111*100)</x:f>
      </x:c>
      <x:c r="V111" t="str">
        <x:f>IF(OR(E111="",T111="",U111=""),"",E111*T111/U111)</x:f>
      </x:c>
      <x:c r="W111" t="str">
        <x:f>IF(OR(F111="",T111="",U111=""),"",F111*T111/U111)</x:f>
      </x:c>
    </x:row>
    <x:row r="112">
      <x:c r="R112" t="str">
        <x:f>IF(OR(E112="",G112=""),"",E112/G112)</x:f>
      </x:c>
      <x:c r="S112" t="str">
        <x:f>IF(OR(F112="",G112=""),"",F112/G112)</x:f>
      </x:c>
      <x:c r="T112" t="str">
        <x:f>IF(OR(H112="",I112="",J112=""),"",0.45*H112^2/(4*PI())+0.10*I112^2/(4*PI())+0.45*J112^2/(4*PI()))</x:f>
      </x:c>
      <x:c r="U112" t="str">
        <x:f>IF(G112="","",1.1*G112*100)</x:f>
      </x:c>
      <x:c r="V112" t="str">
        <x:f>IF(OR(E112="",T112="",U112=""),"",E112*T112/U112)</x:f>
      </x:c>
      <x:c r="W112" t="str">
        <x:f>IF(OR(F112="",T112="",U112=""),"",F112*T112/U112)</x:f>
      </x:c>
    </x:row>
    <x:row r="113">
      <x:c r="R113" t="str">
        <x:f>IF(OR(E113="",G113=""),"",E113/G113)</x:f>
      </x:c>
      <x:c r="S113" t="str">
        <x:f>IF(OR(F113="",G113=""),"",F113/G113)</x:f>
      </x:c>
      <x:c r="T113" t="str">
        <x:f>IF(OR(H113="",I113="",J113=""),"",0.45*H113^2/(4*PI())+0.10*I113^2/(4*PI())+0.45*J113^2/(4*PI()))</x:f>
      </x:c>
      <x:c r="U113" t="str">
        <x:f>IF(G113="","",1.1*G113*100)</x:f>
      </x:c>
      <x:c r="V113" t="str">
        <x:f>IF(OR(E113="",T113="",U113=""),"",E113*T113/U113)</x:f>
      </x:c>
      <x:c r="W113" t="str">
        <x:f>IF(OR(F113="",T113="",U113=""),"",F113*T113/U113)</x:f>
      </x:c>
    </x:row>
    <x:row r="114">
      <x:c r="R114" t="str">
        <x:f>IF(OR(E114="",G114=""),"",E114/G114)</x:f>
      </x:c>
      <x:c r="S114" t="str">
        <x:f>IF(OR(F114="",G114=""),"",F114/G114)</x:f>
      </x:c>
      <x:c r="T114" t="str">
        <x:f>IF(OR(H114="",I114="",J114=""),"",0.45*H114^2/(4*PI())+0.10*I114^2/(4*PI())+0.45*J114^2/(4*PI()))</x:f>
      </x:c>
      <x:c r="U114" t="str">
        <x:f>IF(G114="","",1.1*G114*100)</x:f>
      </x:c>
      <x:c r="V114" t="str">
        <x:f>IF(OR(E114="",T114="",U114=""),"",E114*T114/U114)</x:f>
      </x:c>
      <x:c r="W114" t="str">
        <x:f>IF(OR(F114="",T114="",U114=""),"",F114*T114/U114)</x:f>
      </x:c>
    </x:row>
    <x:row r="115">
      <x:c r="R115" t="str">
        <x:f>IF(OR(E115="",G115=""),"",E115/G115)</x:f>
      </x:c>
      <x:c r="S115" t="str">
        <x:f>IF(OR(F115="",G115=""),"",F115/G115)</x:f>
      </x:c>
      <x:c r="T115" t="str">
        <x:f>IF(OR(H115="",I115="",J115=""),"",0.45*H115^2/(4*PI())+0.10*I115^2/(4*PI())+0.45*J115^2/(4*PI()))</x:f>
      </x:c>
      <x:c r="U115" t="str">
        <x:f>IF(G115="","",1.1*G115*100)</x:f>
      </x:c>
      <x:c r="V115" t="str">
        <x:f>IF(OR(E115="",T115="",U115=""),"",E115*T115/U115)</x:f>
      </x:c>
      <x:c r="W115" t="str">
        <x:f>IF(OR(F115="",T115="",U115=""),"",F115*T115/U115)</x:f>
      </x:c>
    </x:row>
    <x:row r="116">
      <x:c r="R116" t="str">
        <x:f>IF(OR(E116="",G116=""),"",E116/G116)</x:f>
      </x:c>
      <x:c r="S116" t="str">
        <x:f>IF(OR(F116="",G116=""),"",F116/G116)</x:f>
      </x:c>
      <x:c r="T116" t="str">
        <x:f>IF(OR(H116="",I116="",J116=""),"",0.45*H116^2/(4*PI())+0.10*I116^2/(4*PI())+0.45*J116^2/(4*PI()))</x:f>
      </x:c>
      <x:c r="U116" t="str">
        <x:f>IF(G116="","",1.1*G116*100)</x:f>
      </x:c>
      <x:c r="V116" t="str">
        <x:f>IF(OR(E116="",T116="",U116=""),"",E116*T116/U116)</x:f>
      </x:c>
      <x:c r="W116" t="str">
        <x:f>IF(OR(F116="",T116="",U116=""),"",F116*T116/U116)</x:f>
      </x:c>
    </x:row>
    <x:row r="117">
      <x:c r="R117" t="str">
        <x:f>IF(OR(E117="",G117=""),"",E117/G117)</x:f>
      </x:c>
      <x:c r="S117" t="str">
        <x:f>IF(OR(F117="",G117=""),"",F117/G117)</x:f>
      </x:c>
      <x:c r="T117" t="str">
        <x:f>IF(OR(H117="",I117="",J117=""),"",0.45*H117^2/(4*PI())+0.10*I117^2/(4*PI())+0.45*J117^2/(4*PI()))</x:f>
      </x:c>
      <x:c r="U117" t="str">
        <x:f>IF(G117="","",1.1*G117*100)</x:f>
      </x:c>
      <x:c r="V117" t="str">
        <x:f>IF(OR(E117="",T117="",U117=""),"",E117*T117/U117)</x:f>
      </x:c>
      <x:c r="W117" t="str">
        <x:f>IF(OR(F117="",T117="",U117=""),"",F117*T117/U117)</x:f>
      </x:c>
    </x:row>
    <x:row r="118">
      <x:c r="R118" t="str">
        <x:f>IF(OR(E118="",G118=""),"",E118/G118)</x:f>
      </x:c>
      <x:c r="S118" t="str">
        <x:f>IF(OR(F118="",G118=""),"",F118/G118)</x:f>
      </x:c>
      <x:c r="T118" t="str">
        <x:f>IF(OR(H118="",I118="",J118=""),"",0.45*H118^2/(4*PI())+0.10*I118^2/(4*PI())+0.45*J118^2/(4*PI()))</x:f>
      </x:c>
      <x:c r="U118" t="str">
        <x:f>IF(G118="","",1.1*G118*100)</x:f>
      </x:c>
      <x:c r="V118" t="str">
        <x:f>IF(OR(E118="",T118="",U118=""),"",E118*T118/U118)</x:f>
      </x:c>
      <x:c r="W118" t="str">
        <x:f>IF(OR(F118="",T118="",U118=""),"",F118*T118/U118)</x:f>
      </x:c>
    </x:row>
    <x:row r="119">
      <x:c r="R119" t="str">
        <x:f>IF(OR(E119="",G119=""),"",E119/G119)</x:f>
      </x:c>
      <x:c r="S119" t="str">
        <x:f>IF(OR(F119="",G119=""),"",F119/G119)</x:f>
      </x:c>
      <x:c r="T119" t="str">
        <x:f>IF(OR(H119="",I119="",J119=""),"",0.45*H119^2/(4*PI())+0.10*I119^2/(4*PI())+0.45*J119^2/(4*PI()))</x:f>
      </x:c>
      <x:c r="U119" t="str">
        <x:f>IF(G119="","",1.1*G119*100)</x:f>
      </x:c>
      <x:c r="V119" t="str">
        <x:f>IF(OR(E119="",T119="",U119=""),"",E119*T119/U119)</x:f>
      </x:c>
      <x:c r="W119" t="str">
        <x:f>IF(OR(F119="",T119="",U119=""),"",F119*T119/U119)</x:f>
      </x:c>
    </x:row>
    <x:row r="120">
      <x:c r="R120" t="str">
        <x:f>IF(OR(E120="",G120=""),"",E120/G120)</x:f>
      </x:c>
      <x:c r="S120" t="str">
        <x:f>IF(OR(F120="",G120=""),"",F120/G120)</x:f>
      </x:c>
      <x:c r="T120" t="str">
        <x:f>IF(OR(H120="",I120="",J120=""),"",0.45*H120^2/(4*PI())+0.10*I120^2/(4*PI())+0.45*J120^2/(4*PI()))</x:f>
      </x:c>
      <x:c r="U120" t="str">
        <x:f>IF(G120="","",1.1*G120*100)</x:f>
      </x:c>
      <x:c r="V120" t="str">
        <x:f>IF(OR(E120="",T120="",U120=""),"",E120*T120/U120)</x:f>
      </x:c>
      <x:c r="W120" t="str">
        <x:f>IF(OR(F120="",T120="",U120=""),"",F120*T120/U120)</x:f>
      </x:c>
    </x:row>
    <x:row r="121">
      <x:c r="R121" t="str">
        <x:f>IF(OR(E121="",G121=""),"",E121/G121)</x:f>
      </x:c>
      <x:c r="S121" t="str">
        <x:f>IF(OR(F121="",G121=""),"",F121/G121)</x:f>
      </x:c>
      <x:c r="T121" t="str">
        <x:f>IF(OR(H121="",I121="",J121=""),"",0.45*H121^2/(4*PI())+0.10*I121^2/(4*PI())+0.45*J121^2/(4*PI()))</x:f>
      </x:c>
      <x:c r="U121" t="str">
        <x:f>IF(G121="","",1.1*G121*100)</x:f>
      </x:c>
      <x:c r="V121" t="str">
        <x:f>IF(OR(E121="",T121="",U121=""),"",E121*T121/U121)</x:f>
      </x:c>
      <x:c r="W121" t="str">
        <x:f>IF(OR(F121="",T121="",U121=""),"",F121*T121/U121)</x:f>
      </x:c>
    </x:row>
    <x:row r="122">
      <x:c r="R122" t="str">
        <x:f>IF(OR(E122="",G122=""),"",E122/G122)</x:f>
      </x:c>
      <x:c r="S122" t="str">
        <x:f>IF(OR(F122="",G122=""),"",F122/G122)</x:f>
      </x:c>
      <x:c r="T122" t="str">
        <x:f>IF(OR(H122="",I122="",J122=""),"",0.45*H122^2/(4*PI())+0.10*I122^2/(4*PI())+0.45*J122^2/(4*PI()))</x:f>
      </x:c>
      <x:c r="U122" t="str">
        <x:f>IF(G122="","",1.1*G122*100)</x:f>
      </x:c>
      <x:c r="V122" t="str">
        <x:f>IF(OR(E122="",T122="",U122=""),"",E122*T122/U122)</x:f>
      </x:c>
      <x:c r="W122" t="str">
        <x:f>IF(OR(F122="",T122="",U122=""),"",F122*T122/U122)</x:f>
      </x:c>
    </x:row>
    <x:row r="123">
      <x:c r="R123" t="str">
        <x:f>IF(OR(E123="",G123=""),"",E123/G123)</x:f>
      </x:c>
      <x:c r="S123" t="str">
        <x:f>IF(OR(F123="",G123=""),"",F123/G123)</x:f>
      </x:c>
      <x:c r="T123" t="str">
        <x:f>IF(OR(H123="",I123="",J123=""),"",0.45*H123^2/(4*PI())+0.10*I123^2/(4*PI())+0.45*J123^2/(4*PI()))</x:f>
      </x:c>
      <x:c r="U123" t="str">
        <x:f>IF(G123="","",1.1*G123*100)</x:f>
      </x:c>
      <x:c r="V123" t="str">
        <x:f>IF(OR(E123="",T123="",U123=""),"",E123*T123/U123)</x:f>
      </x:c>
      <x:c r="W123" t="str">
        <x:f>IF(OR(F123="",T123="",U123=""),"",F123*T123/U123)</x:f>
      </x:c>
    </x:row>
    <x:row r="124">
      <x:c r="R124" t="str">
        <x:f>IF(OR(E124="",G124=""),"",E124/G124)</x:f>
      </x:c>
      <x:c r="S124" t="str">
        <x:f>IF(OR(F124="",G124=""),"",F124/G124)</x:f>
      </x:c>
      <x:c r="T124" t="str">
        <x:f>IF(OR(H124="",I124="",J124=""),"",0.45*H124^2/(4*PI())+0.10*I124^2/(4*PI())+0.45*J124^2/(4*PI()))</x:f>
      </x:c>
      <x:c r="U124" t="str">
        <x:f>IF(G124="","",1.1*G124*100)</x:f>
      </x:c>
      <x:c r="V124" t="str">
        <x:f>IF(OR(E124="",T124="",U124=""),"",E124*T124/U124)</x:f>
      </x:c>
      <x:c r="W124" t="str">
        <x:f>IF(OR(F124="",T124="",U124=""),"",F124*T124/U124)</x:f>
      </x:c>
    </x:row>
    <x:row r="125">
      <x:c r="R125" t="str">
        <x:f>IF(OR(E125="",G125=""),"",E125/G125)</x:f>
      </x:c>
      <x:c r="S125" t="str">
        <x:f>IF(OR(F125="",G125=""),"",F125/G125)</x:f>
      </x:c>
      <x:c r="T125" t="str">
        <x:f>IF(OR(H125="",I125="",J125=""),"",0.45*H125^2/(4*PI())+0.10*I125^2/(4*PI())+0.45*J125^2/(4*PI()))</x:f>
      </x:c>
      <x:c r="U125" t="str">
        <x:f>IF(G125="","",1.1*G125*100)</x:f>
      </x:c>
      <x:c r="V125" t="str">
        <x:f>IF(OR(E125="",T125="",U125=""),"",E125*T125/U125)</x:f>
      </x:c>
      <x:c r="W125" t="str">
        <x:f>IF(OR(F125="",T125="",U125=""),"",F125*T125/U125)</x:f>
      </x:c>
    </x:row>
    <x:row r="126">
      <x:c r="R126" t="str">
        <x:f>IF(OR(E126="",G126=""),"",E126/G126)</x:f>
      </x:c>
      <x:c r="S126" t="str">
        <x:f>IF(OR(F126="",G126=""),"",F126/G126)</x:f>
      </x:c>
      <x:c r="T126" t="str">
        <x:f>IF(OR(H126="",I126="",J126=""),"",0.45*H126^2/(4*PI())+0.10*I126^2/(4*PI())+0.45*J126^2/(4*PI()))</x:f>
      </x:c>
      <x:c r="U126" t="str">
        <x:f>IF(G126="","",1.1*G126*100)</x:f>
      </x:c>
      <x:c r="V126" t="str">
        <x:f>IF(OR(E126="",T126="",U126=""),"",E126*T126/U126)</x:f>
      </x:c>
      <x:c r="W126" t="str">
        <x:f>IF(OR(F126="",T126="",U126=""),"",F126*T126/U126)</x:f>
      </x:c>
    </x:row>
    <x:row r="127">
      <x:c r="R127" t="str">
        <x:f>IF(OR(E127="",G127=""),"",E127/G127)</x:f>
      </x:c>
      <x:c r="S127" t="str">
        <x:f>IF(OR(F127="",G127=""),"",F127/G127)</x:f>
      </x:c>
      <x:c r="T127" t="str">
        <x:f>IF(OR(H127="",I127="",J127=""),"",0.45*H127^2/(4*PI())+0.10*I127^2/(4*PI())+0.45*J127^2/(4*PI()))</x:f>
      </x:c>
      <x:c r="U127" t="str">
        <x:f>IF(G127="","",1.1*G127*100)</x:f>
      </x:c>
      <x:c r="V127" t="str">
        <x:f>IF(OR(E127="",T127="",U127=""),"",E127*T127/U127)</x:f>
      </x:c>
      <x:c r="W127" t="str">
        <x:f>IF(OR(F127="",T127="",U127=""),"",F127*T127/U127)</x:f>
      </x:c>
    </x:row>
    <x:row r="128">
      <x:c r="R128" t="str">
        <x:f>IF(OR(E128="",G128=""),"",E128/G128)</x:f>
      </x:c>
      <x:c r="S128" t="str">
        <x:f>IF(OR(F128="",G128=""),"",F128/G128)</x:f>
      </x:c>
      <x:c r="T128" t="str">
        <x:f>IF(OR(H128="",I128="",J128=""),"",0.45*H128^2/(4*PI())+0.10*I128^2/(4*PI())+0.45*J128^2/(4*PI()))</x:f>
      </x:c>
      <x:c r="U128" t="str">
        <x:f>IF(G128="","",1.1*G128*100)</x:f>
      </x:c>
      <x:c r="V128" t="str">
        <x:f>IF(OR(E128="",T128="",U128=""),"",E128*T128/U128)</x:f>
      </x:c>
      <x:c r="W128" t="str">
        <x:f>IF(OR(F128="",T128="",U128=""),"",F128*T128/U128)</x:f>
      </x:c>
    </x:row>
    <x:row r="129">
      <x:c r="R129" t="str">
        <x:f>IF(OR(E129="",G129=""),"",E129/G129)</x:f>
      </x:c>
      <x:c r="S129" t="str">
        <x:f>IF(OR(F129="",G129=""),"",F129/G129)</x:f>
      </x:c>
      <x:c r="T129" t="str">
        <x:f>IF(OR(H129="",I129="",J129=""),"",0.45*H129^2/(4*PI())+0.10*I129^2/(4*PI())+0.45*J129^2/(4*PI()))</x:f>
      </x:c>
      <x:c r="U129" t="str">
        <x:f>IF(G129="","",1.1*G129*100)</x:f>
      </x:c>
      <x:c r="V129" t="str">
        <x:f>IF(OR(E129="",T129="",U129=""),"",E129*T129/U129)</x:f>
      </x:c>
      <x:c r="W129" t="str">
        <x:f>IF(OR(F129="",T129="",U129=""),"",F129*T129/U129)</x:f>
      </x:c>
    </x:row>
    <x:row r="130">
      <x:c r="R130" t="str">
        <x:f>IF(OR(E130="",G130=""),"",E130/G130)</x:f>
      </x:c>
      <x:c r="S130" t="str">
        <x:f>IF(OR(F130="",G130=""),"",F130/G130)</x:f>
      </x:c>
      <x:c r="T130" t="str">
        <x:f>IF(OR(H130="",I130="",J130=""),"",0.45*H130^2/(4*PI())+0.10*I130^2/(4*PI())+0.45*J130^2/(4*PI()))</x:f>
      </x:c>
      <x:c r="U130" t="str">
        <x:f>IF(G130="","",1.1*G130*100)</x:f>
      </x:c>
      <x:c r="V130" t="str">
        <x:f>IF(OR(E130="",T130="",U130=""),"",E130*T130/U130)</x:f>
      </x:c>
      <x:c r="W130" t="str">
        <x:f>IF(OR(F130="",T130="",U130=""),"",F130*T130/U130)</x:f>
      </x:c>
    </x:row>
    <x:row r="131">
      <x:c r="R131" t="str">
        <x:f>IF(OR(E131="",G131=""),"",E131/G131)</x:f>
      </x:c>
      <x:c r="S131" t="str">
        <x:f>IF(OR(F131="",G131=""),"",F131/G131)</x:f>
      </x:c>
      <x:c r="T131" t="str">
        <x:f>IF(OR(H131="",I131="",J131=""),"",0.45*H131^2/(4*PI())+0.10*I131^2/(4*PI())+0.45*J131^2/(4*PI()))</x:f>
      </x:c>
      <x:c r="U131" t="str">
        <x:f>IF(G131="","",1.1*G131*100)</x:f>
      </x:c>
      <x:c r="V131" t="str">
        <x:f>IF(OR(E131="",T131="",U131=""),"",E131*T131/U131)</x:f>
      </x:c>
      <x:c r="W131" t="str">
        <x:f>IF(OR(F131="",T131="",U131=""),"",F131*T131/U131)</x:f>
      </x:c>
    </x:row>
    <x:row r="132">
      <x:c r="R132" t="str">
        <x:f>IF(OR(E132="",G132=""),"",E132/G132)</x:f>
      </x:c>
      <x:c r="S132" t="str">
        <x:f>IF(OR(F132="",G132=""),"",F132/G132)</x:f>
      </x:c>
      <x:c r="T132" t="str">
        <x:f>IF(OR(H132="",I132="",J132=""),"",0.45*H132^2/(4*PI())+0.10*I132^2/(4*PI())+0.45*J132^2/(4*PI()))</x:f>
      </x:c>
      <x:c r="U132" t="str">
        <x:f>IF(G132="","",1.1*G132*100)</x:f>
      </x:c>
      <x:c r="V132" t="str">
        <x:f>IF(OR(E132="",T132="",U132=""),"",E132*T132/U132)</x:f>
      </x:c>
      <x:c r="W132" t="str">
        <x:f>IF(OR(F132="",T132="",U132=""),"",F132*T132/U132)</x:f>
      </x:c>
    </x:row>
    <x:row r="133">
      <x:c r="R133" t="str">
        <x:f>IF(OR(E133="",G133=""),"",E133/G133)</x:f>
      </x:c>
      <x:c r="S133" t="str">
        <x:f>IF(OR(F133="",G133=""),"",F133/G133)</x:f>
      </x:c>
      <x:c r="T133" t="str">
        <x:f>IF(OR(H133="",I133="",J133=""),"",0.45*H133^2/(4*PI())+0.10*I133^2/(4*PI())+0.45*J133^2/(4*PI()))</x:f>
      </x:c>
      <x:c r="U133" t="str">
        <x:f>IF(G133="","",1.1*G133*100)</x:f>
      </x:c>
      <x:c r="V133" t="str">
        <x:f>IF(OR(E133="",T133="",U133=""),"",E133*T133/U133)</x:f>
      </x:c>
      <x:c r="W133" t="str">
        <x:f>IF(OR(F133="",T133="",U133=""),"",F133*T133/U133)</x:f>
      </x:c>
    </x:row>
    <x:row r="134">
      <x:c r="R134" t="str">
        <x:f>IF(OR(E134="",G134=""),"",E134/G134)</x:f>
      </x:c>
      <x:c r="S134" t="str">
        <x:f>IF(OR(F134="",G134=""),"",F134/G134)</x:f>
      </x:c>
      <x:c r="T134" t="str">
        <x:f>IF(OR(H134="",I134="",J134=""),"",0.45*H134^2/(4*PI())+0.10*I134^2/(4*PI())+0.45*J134^2/(4*PI()))</x:f>
      </x:c>
      <x:c r="U134" t="str">
        <x:f>IF(G134="","",1.1*G134*100)</x:f>
      </x:c>
      <x:c r="V134" t="str">
        <x:f>IF(OR(E134="",T134="",U134=""),"",E134*T134/U134)</x:f>
      </x:c>
      <x:c r="W134" t="str">
        <x:f>IF(OR(F134="",T134="",U134=""),"",F134*T134/U134)</x:f>
      </x:c>
    </x:row>
    <x:row r="135">
      <x:c r="R135" t="str">
        <x:f>IF(OR(E135="",G135=""),"",E135/G135)</x:f>
      </x:c>
      <x:c r="S135" t="str">
        <x:f>IF(OR(F135="",G135=""),"",F135/G135)</x:f>
      </x:c>
      <x:c r="T135" t="str">
        <x:f>IF(OR(H135="",I135="",J135=""),"",0.45*H135^2/(4*PI())+0.10*I135^2/(4*PI())+0.45*J135^2/(4*PI()))</x:f>
      </x:c>
      <x:c r="U135" t="str">
        <x:f>IF(G135="","",1.1*G135*100)</x:f>
      </x:c>
      <x:c r="V135" t="str">
        <x:f>IF(OR(E135="",T135="",U135=""),"",E135*T135/U135)</x:f>
      </x:c>
      <x:c r="W135" t="str">
        <x:f>IF(OR(F135="",T135="",U135=""),"",F135*T135/U135)</x:f>
      </x:c>
    </x:row>
    <x:row r="136">
      <x:c r="R136" t="str">
        <x:f>IF(OR(E136="",G136=""),"",E136/G136)</x:f>
      </x:c>
      <x:c r="S136" t="str">
        <x:f>IF(OR(F136="",G136=""),"",F136/G136)</x:f>
      </x:c>
      <x:c r="T136" t="str">
        <x:f>IF(OR(H136="",I136="",J136=""),"",0.45*H136^2/(4*PI())+0.10*I136^2/(4*PI())+0.45*J136^2/(4*PI()))</x:f>
      </x:c>
      <x:c r="U136" t="str">
        <x:f>IF(G136="","",1.1*G136*100)</x:f>
      </x:c>
      <x:c r="V136" t="str">
        <x:f>IF(OR(E136="",T136="",U136=""),"",E136*T136/U136)</x:f>
      </x:c>
      <x:c r="W136" t="str">
        <x:f>IF(OR(F136="",T136="",U136=""),"",F136*T136/U136)</x:f>
      </x:c>
    </x:row>
    <x:row r="137">
      <x:c r="R137" t="str">
        <x:f>IF(OR(E137="",G137=""),"",E137/G137)</x:f>
      </x:c>
      <x:c r="S137" t="str">
        <x:f>IF(OR(F137="",G137=""),"",F137/G137)</x:f>
      </x:c>
      <x:c r="T137" t="str">
        <x:f>IF(OR(H137="",I137="",J137=""),"",0.45*H137^2/(4*PI())+0.10*I137^2/(4*PI())+0.45*J137^2/(4*PI()))</x:f>
      </x:c>
      <x:c r="U137" t="str">
        <x:f>IF(G137="","",1.1*G137*100)</x:f>
      </x:c>
      <x:c r="V137" t="str">
        <x:f>IF(OR(E137="",T137="",U137=""),"",E137*T137/U137)</x:f>
      </x:c>
      <x:c r="W137" t="str">
        <x:f>IF(OR(F137="",T137="",U137=""),"",F137*T137/U137)</x:f>
      </x:c>
    </x:row>
    <x:row r="138">
      <x:c r="R138" t="str">
        <x:f>IF(OR(E138="",G138=""),"",E138/G138)</x:f>
      </x:c>
      <x:c r="S138" t="str">
        <x:f>IF(OR(F138="",G138=""),"",F138/G138)</x:f>
      </x:c>
      <x:c r="T138" t="str">
        <x:f>IF(OR(H138="",I138="",J138=""),"",0.45*H138^2/(4*PI())+0.10*I138^2/(4*PI())+0.45*J138^2/(4*PI()))</x:f>
      </x:c>
      <x:c r="U138" t="str">
        <x:f>IF(G138="","",1.1*G138*100)</x:f>
      </x:c>
      <x:c r="V138" t="str">
        <x:f>IF(OR(E138="",T138="",U138=""),"",E138*T138/U138)</x:f>
      </x:c>
      <x:c r="W138" t="str">
        <x:f>IF(OR(F138="",T138="",U138=""),"",F138*T138/U138)</x:f>
      </x:c>
    </x:row>
    <x:row r="139">
      <x:c r="R139" t="str">
        <x:f>IF(OR(E139="",G139=""),"",E139/G139)</x:f>
      </x:c>
      <x:c r="S139" t="str">
        <x:f>IF(OR(F139="",G139=""),"",F139/G139)</x:f>
      </x:c>
      <x:c r="T139" t="str">
        <x:f>IF(OR(H139="",I139="",J139=""),"",0.45*H139^2/(4*PI())+0.10*I139^2/(4*PI())+0.45*J139^2/(4*PI()))</x:f>
      </x:c>
      <x:c r="U139" t="str">
        <x:f>IF(G139="","",1.1*G139*100)</x:f>
      </x:c>
      <x:c r="V139" t="str">
        <x:f>IF(OR(E139="",T139="",U139=""),"",E139*T139/U139)</x:f>
      </x:c>
      <x:c r="W139" t="str">
        <x:f>IF(OR(F139="",T139="",U139=""),"",F139*T139/U139)</x:f>
      </x:c>
    </x:row>
    <x:row r="140">
      <x:c r="R140" t="str">
        <x:f>IF(OR(E140="",G140=""),"",E140/G140)</x:f>
      </x:c>
      <x:c r="S140" t="str">
        <x:f>IF(OR(F140="",G140=""),"",F140/G140)</x:f>
      </x:c>
      <x:c r="T140" t="str">
        <x:f>IF(OR(H140="",I140="",J140=""),"",0.45*H140^2/(4*PI())+0.10*I140^2/(4*PI())+0.45*J140^2/(4*PI()))</x:f>
      </x:c>
      <x:c r="U140" t="str">
        <x:f>IF(G140="","",1.1*G140*100)</x:f>
      </x:c>
      <x:c r="V140" t="str">
        <x:f>IF(OR(E140="",T140="",U140=""),"",E140*T140/U140)</x:f>
      </x:c>
      <x:c r="W140" t="str">
        <x:f>IF(OR(F140="",T140="",U140=""),"",F140*T140/U140)</x:f>
      </x:c>
    </x:row>
    <x:row r="141">
      <x:c r="R141" t="str">
        <x:f>IF(OR(E141="",G141=""),"",E141/G141)</x:f>
      </x:c>
      <x:c r="S141" t="str">
        <x:f>IF(OR(F141="",G141=""),"",F141/G141)</x:f>
      </x:c>
      <x:c r="T141" t="str">
        <x:f>IF(OR(H141="",I141="",J141=""),"",0.45*H141^2/(4*PI())+0.10*I141^2/(4*PI())+0.45*J141^2/(4*PI()))</x:f>
      </x:c>
      <x:c r="U141" t="str">
        <x:f>IF(G141="","",1.1*G141*100)</x:f>
      </x:c>
      <x:c r="V141" t="str">
        <x:f>IF(OR(E141="",T141="",U141=""),"",E141*T141/U141)</x:f>
      </x:c>
      <x:c r="W141" t="str">
        <x:f>IF(OR(F141="",T141="",U141=""),"",F141*T141/U141)</x:f>
      </x:c>
    </x:row>
    <x:row r="142">
      <x:c r="R142" t="str">
        <x:f>IF(OR(E142="",G142=""),"",E142/G142)</x:f>
      </x:c>
      <x:c r="S142" t="str">
        <x:f>IF(OR(F142="",G142=""),"",F142/G142)</x:f>
      </x:c>
      <x:c r="T142" t="str">
        <x:f>IF(OR(H142="",I142="",J142=""),"",0.45*H142^2/(4*PI())+0.10*I142^2/(4*PI())+0.45*J142^2/(4*PI()))</x:f>
      </x:c>
      <x:c r="U142" t="str">
        <x:f>IF(G142="","",1.1*G142*100)</x:f>
      </x:c>
      <x:c r="V142" t="str">
        <x:f>IF(OR(E142="",T142="",U142=""),"",E142*T142/U142)</x:f>
      </x:c>
      <x:c r="W142" t="str">
        <x:f>IF(OR(F142="",T142="",U142=""),"",F142*T142/U142)</x:f>
      </x:c>
    </x:row>
    <x:row r="143">
      <x:c r="R143" t="str">
        <x:f>IF(OR(E143="",G143=""),"",E143/G143)</x:f>
      </x:c>
      <x:c r="S143" t="str">
        <x:f>IF(OR(F143="",G143=""),"",F143/G143)</x:f>
      </x:c>
      <x:c r="T143" t="str">
        <x:f>IF(OR(H143="",I143="",J143=""),"",0.45*H143^2/(4*PI())+0.10*I143^2/(4*PI())+0.45*J143^2/(4*PI()))</x:f>
      </x:c>
      <x:c r="U143" t="str">
        <x:f>IF(G143="","",1.1*G143*100)</x:f>
      </x:c>
      <x:c r="V143" t="str">
        <x:f>IF(OR(E143="",T143="",U143=""),"",E143*T143/U143)</x:f>
      </x:c>
      <x:c r="W143" t="str">
        <x:f>IF(OR(F143="",T143="",U143=""),"",F143*T143/U143)</x:f>
      </x:c>
    </x:row>
    <x:row r="144">
      <x:c r="R144" t="str">
        <x:f>IF(OR(E144="",G144=""),"",E144/G144)</x:f>
      </x:c>
      <x:c r="S144" t="str">
        <x:f>IF(OR(F144="",G144=""),"",F144/G144)</x:f>
      </x:c>
      <x:c r="T144" t="str">
        <x:f>IF(OR(H144="",I144="",J144=""),"",0.45*H144^2/(4*PI())+0.10*I144^2/(4*PI())+0.45*J144^2/(4*PI()))</x:f>
      </x:c>
      <x:c r="U144" t="str">
        <x:f>IF(G144="","",1.1*G144*100)</x:f>
      </x:c>
      <x:c r="V144" t="str">
        <x:f>IF(OR(E144="",T144="",U144=""),"",E144*T144/U144)</x:f>
      </x:c>
      <x:c r="W144" t="str">
        <x:f>IF(OR(F144="",T144="",U144=""),"",F144*T144/U144)</x:f>
      </x:c>
    </x:row>
    <x:row r="145">
      <x:c r="R145" t="str">
        <x:f>IF(OR(E145="",G145=""),"",E145/G145)</x:f>
      </x:c>
      <x:c r="S145" t="str">
        <x:f>IF(OR(F145="",G145=""),"",F145/G145)</x:f>
      </x:c>
      <x:c r="T145" t="str">
        <x:f>IF(OR(H145="",I145="",J145=""),"",0.45*H145^2/(4*PI())+0.10*I145^2/(4*PI())+0.45*J145^2/(4*PI()))</x:f>
      </x:c>
      <x:c r="U145" t="str">
        <x:f>IF(G145="","",1.1*G145*100)</x:f>
      </x:c>
      <x:c r="V145" t="str">
        <x:f>IF(OR(E145="",T145="",U145=""),"",E145*T145/U145)</x:f>
      </x:c>
      <x:c r="W145" t="str">
        <x:f>IF(OR(F145="",T145="",U145=""),"",F145*T145/U145)</x:f>
      </x:c>
    </x:row>
    <x:row r="146">
      <x:c r="R146" t="str">
        <x:f>IF(OR(E146="",G146=""),"",E146/G146)</x:f>
      </x:c>
      <x:c r="S146" t="str">
        <x:f>IF(OR(F146="",G146=""),"",F146/G146)</x:f>
      </x:c>
      <x:c r="T146" t="str">
        <x:f>IF(OR(H146="",I146="",J146=""),"",0.45*H146^2/(4*PI())+0.10*I146^2/(4*PI())+0.45*J146^2/(4*PI()))</x:f>
      </x:c>
      <x:c r="U146" t="str">
        <x:f>IF(G146="","",1.1*G146*100)</x:f>
      </x:c>
      <x:c r="V146" t="str">
        <x:f>IF(OR(E146="",T146="",U146=""),"",E146*T146/U146)</x:f>
      </x:c>
      <x:c r="W146" t="str">
        <x:f>IF(OR(F146="",T146="",U146=""),"",F146*T146/U146)</x:f>
      </x:c>
    </x:row>
    <x:row r="147">
      <x:c r="R147" t="str">
        <x:f>IF(OR(E147="",G147=""),"",E147/G147)</x:f>
      </x:c>
      <x:c r="S147" t="str">
        <x:f>IF(OR(F147="",G147=""),"",F147/G147)</x:f>
      </x:c>
      <x:c r="T147" t="str">
        <x:f>IF(OR(H147="",I147="",J147=""),"",0.45*H147^2/(4*PI())+0.10*I147^2/(4*PI())+0.45*J147^2/(4*PI()))</x:f>
      </x:c>
      <x:c r="U147" t="str">
        <x:f>IF(G147="","",1.1*G147*100)</x:f>
      </x:c>
      <x:c r="V147" t="str">
        <x:f>IF(OR(E147="",T147="",U147=""),"",E147*T147/U147)</x:f>
      </x:c>
      <x:c r="W147" t="str">
        <x:f>IF(OR(F147="",T147="",U147=""),"",F147*T147/U147)</x:f>
      </x:c>
    </x:row>
    <x:row r="148">
      <x:c r="R148" t="str">
        <x:f>IF(OR(E148="",G148=""),"",E148/G148)</x:f>
      </x:c>
      <x:c r="S148" t="str">
        <x:f>IF(OR(F148="",G148=""),"",F148/G148)</x:f>
      </x:c>
      <x:c r="T148" t="str">
        <x:f>IF(OR(H148="",I148="",J148=""),"",0.45*H148^2/(4*PI())+0.10*I148^2/(4*PI())+0.45*J148^2/(4*PI()))</x:f>
      </x:c>
      <x:c r="U148" t="str">
        <x:f>IF(G148="","",1.1*G148*100)</x:f>
      </x:c>
      <x:c r="V148" t="str">
        <x:f>IF(OR(E148="",T148="",U148=""),"",E148*T148/U148)</x:f>
      </x:c>
      <x:c r="W148" t="str">
        <x:f>IF(OR(F148="",T148="",U148=""),"",F148*T148/U148)</x:f>
      </x:c>
    </x:row>
    <x:row r="149">
      <x:c r="R149" t="str">
        <x:f>IF(OR(E149="",G149=""),"",E149/G149)</x:f>
      </x:c>
      <x:c r="S149" t="str">
        <x:f>IF(OR(F149="",G149=""),"",F149/G149)</x:f>
      </x:c>
      <x:c r="T149" t="str">
        <x:f>IF(OR(H149="",I149="",J149=""),"",0.45*H149^2/(4*PI())+0.10*I149^2/(4*PI())+0.45*J149^2/(4*PI()))</x:f>
      </x:c>
      <x:c r="U149" t="str">
        <x:f>IF(G149="","",1.1*G149*100)</x:f>
      </x:c>
      <x:c r="V149" t="str">
        <x:f>IF(OR(E149="",T149="",U149=""),"",E149*T149/U149)</x:f>
      </x:c>
      <x:c r="W149" t="str">
        <x:f>IF(OR(F149="",T149="",U149=""),"",F149*T149/U149)</x:f>
      </x:c>
    </x:row>
    <x:row r="150">
      <x:c r="R150" t="str">
        <x:f>IF(OR(E150="",G150=""),"",E150/G150)</x:f>
      </x:c>
      <x:c r="S150" t="str">
        <x:f>IF(OR(F150="",G150=""),"",F150/G150)</x:f>
      </x:c>
      <x:c r="T150" t="str">
        <x:f>IF(OR(H150="",I150="",J150=""),"",0.45*H150^2/(4*PI())+0.10*I150^2/(4*PI())+0.45*J150^2/(4*PI()))</x:f>
      </x:c>
      <x:c r="U150" t="str">
        <x:f>IF(G150="","",1.1*G150*100)</x:f>
      </x:c>
      <x:c r="V150" t="str">
        <x:f>IF(OR(E150="",T150="",U150=""),"",E150*T150/U150)</x:f>
      </x:c>
      <x:c r="W150" t="str">
        <x:f>IF(OR(F150="",T150="",U150=""),"",F150*T150/U150)</x:f>
      </x:c>
    </x:row>
    <x:row r="151">
      <x:c r="R151" t="str">
        <x:f>IF(OR(E151="",G151=""),"",E151/G151)</x:f>
      </x:c>
      <x:c r="S151" t="str">
        <x:f>IF(OR(F151="",G151=""),"",F151/G151)</x:f>
      </x:c>
      <x:c r="T151" t="str">
        <x:f>IF(OR(H151="",I151="",J151=""),"",0.45*H151^2/(4*PI())+0.10*I151^2/(4*PI())+0.45*J151^2/(4*PI()))</x:f>
      </x:c>
      <x:c r="U151" t="str">
        <x:f>IF(G151="","",1.1*G151*100)</x:f>
      </x:c>
      <x:c r="V151" t="str">
        <x:f>IF(OR(E151="",T151="",U151=""),"",E151*T151/U151)</x:f>
      </x:c>
      <x:c r="W151" t="str">
        <x:f>IF(OR(F151="",T151="",U151=""),"",F151*T151/U151)</x:f>
      </x:c>
    </x:row>
    <x:row r="152">
      <x:c r="R152" t="str">
        <x:f>IF(OR(E152="",G152=""),"",E152/G152)</x:f>
      </x:c>
      <x:c r="S152" t="str">
        <x:f>IF(OR(F152="",G152=""),"",F152/G152)</x:f>
      </x:c>
      <x:c r="T152" t="str">
        <x:f>IF(OR(H152="",I152="",J152=""),"",0.45*H152^2/(4*PI())+0.10*I152^2/(4*PI())+0.45*J152^2/(4*PI()))</x:f>
      </x:c>
      <x:c r="U152" t="str">
        <x:f>IF(G152="","",1.1*G152*100)</x:f>
      </x:c>
      <x:c r="V152" t="str">
        <x:f>IF(OR(E152="",T152="",U152=""),"",E152*T152/U152)</x:f>
      </x:c>
      <x:c r="W152" t="str">
        <x:f>IF(OR(F152="",T152="",U152=""),"",F152*T152/U152)</x:f>
      </x:c>
    </x:row>
    <x:row r="153">
      <x:c r="R153" t="str">
        <x:f>IF(OR(E153="",G153=""),"",E153/G153)</x:f>
      </x:c>
      <x:c r="S153" t="str">
        <x:f>IF(OR(F153="",G153=""),"",F153/G153)</x:f>
      </x:c>
      <x:c r="T153" t="str">
        <x:f>IF(OR(H153="",I153="",J153=""),"",0.45*H153^2/(4*PI())+0.10*I153^2/(4*PI())+0.45*J153^2/(4*PI()))</x:f>
      </x:c>
      <x:c r="U153" t="str">
        <x:f>IF(G153="","",1.1*G153*100)</x:f>
      </x:c>
      <x:c r="V153" t="str">
        <x:f>IF(OR(E153="",T153="",U153=""),"",E153*T153/U153)</x:f>
      </x:c>
      <x:c r="W153" t="str">
        <x:f>IF(OR(F153="",T153="",U153=""),"",F153*T153/U153)</x:f>
      </x:c>
    </x:row>
    <x:row r="154">
      <x:c r="R154" t="str">
        <x:f>IF(OR(E154="",G154=""),"",E154/G154)</x:f>
      </x:c>
      <x:c r="S154" t="str">
        <x:f>IF(OR(F154="",G154=""),"",F154/G154)</x:f>
      </x:c>
      <x:c r="T154" t="str">
        <x:f>IF(OR(H154="",I154="",J154=""),"",0.45*H154^2/(4*PI())+0.10*I154^2/(4*PI())+0.45*J154^2/(4*PI()))</x:f>
      </x:c>
      <x:c r="U154" t="str">
        <x:f>IF(G154="","",1.1*G154*100)</x:f>
      </x:c>
      <x:c r="V154" t="str">
        <x:f>IF(OR(E154="",T154="",U154=""),"",E154*T154/U154)</x:f>
      </x:c>
      <x:c r="W154" t="str">
        <x:f>IF(OR(F154="",T154="",U154=""),"",F154*T154/U154)</x:f>
      </x:c>
    </x:row>
    <x:row r="155">
      <x:c r="R155" t="str">
        <x:f>IF(OR(E155="",G155=""),"",E155/G155)</x:f>
      </x:c>
      <x:c r="S155" t="str">
        <x:f>IF(OR(F155="",G155=""),"",F155/G155)</x:f>
      </x:c>
      <x:c r="T155" t="str">
        <x:f>IF(OR(H155="",I155="",J155=""),"",0.45*H155^2/(4*PI())+0.10*I155^2/(4*PI())+0.45*J155^2/(4*PI()))</x:f>
      </x:c>
      <x:c r="U155" t="str">
        <x:f>IF(G155="","",1.1*G155*100)</x:f>
      </x:c>
      <x:c r="V155" t="str">
        <x:f>IF(OR(E155="",T155="",U155=""),"",E155*T155/U155)</x:f>
      </x:c>
      <x:c r="W155" t="str">
        <x:f>IF(OR(F155="",T155="",U155=""),"",F155*T155/U155)</x:f>
      </x:c>
    </x:row>
    <x:row r="156">
      <x:c r="R156" t="str">
        <x:f>IF(OR(E156="",G156=""),"",E156/G156)</x:f>
      </x:c>
      <x:c r="S156" t="str">
        <x:f>IF(OR(F156="",G156=""),"",F156/G156)</x:f>
      </x:c>
      <x:c r="T156" t="str">
        <x:f>IF(OR(H156="",I156="",J156=""),"",0.45*H156^2/(4*PI())+0.10*I156^2/(4*PI())+0.45*J156^2/(4*PI()))</x:f>
      </x:c>
      <x:c r="U156" t="str">
        <x:f>IF(G156="","",1.1*G156*100)</x:f>
      </x:c>
      <x:c r="V156" t="str">
        <x:f>IF(OR(E156="",T156="",U156=""),"",E156*T156/U156)</x:f>
      </x:c>
      <x:c r="W156" t="str">
        <x:f>IF(OR(F156="",T156="",U156=""),"",F156*T156/U156)</x:f>
      </x:c>
    </x:row>
    <x:row r="157">
      <x:c r="R157" t="str">
        <x:f>IF(OR(E157="",G157=""),"",E157/G157)</x:f>
      </x:c>
      <x:c r="S157" t="str">
        <x:f>IF(OR(F157="",G157=""),"",F157/G157)</x:f>
      </x:c>
      <x:c r="T157" t="str">
        <x:f>IF(OR(H157="",I157="",J157=""),"",0.45*H157^2/(4*PI())+0.10*I157^2/(4*PI())+0.45*J157^2/(4*PI()))</x:f>
      </x:c>
      <x:c r="U157" t="str">
        <x:f>IF(G157="","",1.1*G157*100)</x:f>
      </x:c>
      <x:c r="V157" t="str">
        <x:f>IF(OR(E157="",T157="",U157=""),"",E157*T157/U157)</x:f>
      </x:c>
      <x:c r="W157" t="str">
        <x:f>IF(OR(F157="",T157="",U157=""),"",F157*T157/U157)</x:f>
      </x:c>
    </x:row>
    <x:row r="158">
      <x:c r="R158" t="str">
        <x:f>IF(OR(E158="",G158=""),"",E158/G158)</x:f>
      </x:c>
      <x:c r="S158" t="str">
        <x:f>IF(OR(F158="",G158=""),"",F158/G158)</x:f>
      </x:c>
      <x:c r="T158" t="str">
        <x:f>IF(OR(H158="",I158="",J158=""),"",0.45*H158^2/(4*PI())+0.10*I158^2/(4*PI())+0.45*J158^2/(4*PI()))</x:f>
      </x:c>
      <x:c r="U158" t="str">
        <x:f>IF(G158="","",1.1*G158*100)</x:f>
      </x:c>
      <x:c r="V158" t="str">
        <x:f>IF(OR(E158="",T158="",U158=""),"",E158*T158/U158)</x:f>
      </x:c>
      <x:c r="W158" t="str">
        <x:f>IF(OR(F158="",T158="",U158=""),"",F158*T158/U158)</x:f>
      </x:c>
    </x:row>
    <x:row r="159">
      <x:c r="R159" t="str">
        <x:f>IF(OR(E159="",G159=""),"",E159/G159)</x:f>
      </x:c>
      <x:c r="S159" t="str">
        <x:f>IF(OR(F159="",G159=""),"",F159/G159)</x:f>
      </x:c>
      <x:c r="T159" t="str">
        <x:f>IF(OR(H159="",I159="",J159=""),"",0.45*H159^2/(4*PI())+0.10*I159^2/(4*PI())+0.45*J159^2/(4*PI()))</x:f>
      </x:c>
      <x:c r="U159" t="str">
        <x:f>IF(G159="","",1.1*G159*100)</x:f>
      </x:c>
      <x:c r="V159" t="str">
        <x:f>IF(OR(E159="",T159="",U159=""),"",E159*T159/U159)</x:f>
      </x:c>
      <x:c r="W159" t="str">
        <x:f>IF(OR(F159="",T159="",U159=""),"",F159*T159/U159)</x:f>
      </x:c>
    </x:row>
    <x:row r="160">
      <x:c r="R160" t="str">
        <x:f>IF(OR(E160="",G160=""),"",E160/G160)</x:f>
      </x:c>
      <x:c r="S160" t="str">
        <x:f>IF(OR(F160="",G160=""),"",F160/G160)</x:f>
      </x:c>
      <x:c r="T160" t="str">
        <x:f>IF(OR(H160="",I160="",J160=""),"",0.45*H160^2/(4*PI())+0.10*I160^2/(4*PI())+0.45*J160^2/(4*PI()))</x:f>
      </x:c>
      <x:c r="U160" t="str">
        <x:f>IF(G160="","",1.1*G160*100)</x:f>
      </x:c>
      <x:c r="V160" t="str">
        <x:f>IF(OR(E160="",T160="",U160=""),"",E160*T160/U160)</x:f>
      </x:c>
      <x:c r="W160" t="str">
        <x:f>IF(OR(F160="",T160="",U160=""),"",F160*T160/U160)</x:f>
      </x:c>
    </x:row>
    <x:row r="161">
      <x:c r="R161" t="str">
        <x:f>IF(OR(E161="",G161=""),"",E161/G161)</x:f>
      </x:c>
      <x:c r="S161" t="str">
        <x:f>IF(OR(F161="",G161=""),"",F161/G161)</x:f>
      </x:c>
      <x:c r="T161" t="str">
        <x:f>IF(OR(H161="",I161="",J161=""),"",0.45*H161^2/(4*PI())+0.10*I161^2/(4*PI())+0.45*J161^2/(4*PI()))</x:f>
      </x:c>
      <x:c r="U161" t="str">
        <x:f>IF(G161="","",1.1*G161*100)</x:f>
      </x:c>
      <x:c r="V161" t="str">
        <x:f>IF(OR(E161="",T161="",U161=""),"",E161*T161/U161)</x:f>
      </x:c>
      <x:c r="W161" t="str">
        <x:f>IF(OR(F161="",T161="",U161=""),"",F161*T161/U161)</x:f>
      </x:c>
    </x:row>
    <x:row r="162">
      <x:c r="R162" t="str">
        <x:f>IF(OR(E162="",G162=""),"",E162/G162)</x:f>
      </x:c>
      <x:c r="S162" t="str">
        <x:f>IF(OR(F162="",G162=""),"",F162/G162)</x:f>
      </x:c>
      <x:c r="T162" t="str">
        <x:f>IF(OR(H162="",I162="",J162=""),"",0.45*H162^2/(4*PI())+0.10*I162^2/(4*PI())+0.45*J162^2/(4*PI()))</x:f>
      </x:c>
      <x:c r="U162" t="str">
        <x:f>IF(G162="","",1.1*G162*100)</x:f>
      </x:c>
      <x:c r="V162" t="str">
        <x:f>IF(OR(E162="",T162="",U162=""),"",E162*T162/U162)</x:f>
      </x:c>
      <x:c r="W162" t="str">
        <x:f>IF(OR(F162="",T162="",U162=""),"",F162*T162/U162)</x:f>
      </x:c>
    </x:row>
    <x:row r="163">
      <x:c r="R163" t="str">
        <x:f>IF(OR(E163="",G163=""),"",E163/G163)</x:f>
      </x:c>
      <x:c r="S163" t="str">
        <x:f>IF(OR(F163="",G163=""),"",F163/G163)</x:f>
      </x:c>
      <x:c r="T163" t="str">
        <x:f>IF(OR(H163="",I163="",J163=""),"",0.45*H163^2/(4*PI())+0.10*I163^2/(4*PI())+0.45*J163^2/(4*PI()))</x:f>
      </x:c>
      <x:c r="U163" t="str">
        <x:f>IF(G163="","",1.1*G163*100)</x:f>
      </x:c>
      <x:c r="V163" t="str">
        <x:f>IF(OR(E163="",T163="",U163=""),"",E163*T163/U163)</x:f>
      </x:c>
      <x:c r="W163" t="str">
        <x:f>IF(OR(F163="",T163="",U163=""),"",F163*T163/U163)</x:f>
      </x:c>
    </x:row>
    <x:row r="164">
      <x:c r="R164" t="str">
        <x:f>IF(OR(E164="",G164=""),"",E164/G164)</x:f>
      </x:c>
      <x:c r="S164" t="str">
        <x:f>IF(OR(F164="",G164=""),"",F164/G164)</x:f>
      </x:c>
      <x:c r="T164" t="str">
        <x:f>IF(OR(H164="",I164="",J164=""),"",0.45*H164^2/(4*PI())+0.10*I164^2/(4*PI())+0.45*J164^2/(4*PI()))</x:f>
      </x:c>
      <x:c r="U164" t="str">
        <x:f>IF(G164="","",1.1*G164*100)</x:f>
      </x:c>
      <x:c r="V164" t="str">
        <x:f>IF(OR(E164="",T164="",U164=""),"",E164*T164/U164)</x:f>
      </x:c>
      <x:c r="W164" t="str">
        <x:f>IF(OR(F164="",T164="",U164=""),"",F164*T164/U164)</x:f>
      </x:c>
    </x:row>
    <x:row r="165">
      <x:c r="R165" t="str">
        <x:f>IF(OR(E165="",G165=""),"",E165/G165)</x:f>
      </x:c>
      <x:c r="S165" t="str">
        <x:f>IF(OR(F165="",G165=""),"",F165/G165)</x:f>
      </x:c>
      <x:c r="T165" t="str">
        <x:f>IF(OR(H165="",I165="",J165=""),"",0.45*H165^2/(4*PI())+0.10*I165^2/(4*PI())+0.45*J165^2/(4*PI()))</x:f>
      </x:c>
      <x:c r="U165" t="str">
        <x:f>IF(G165="","",1.1*G165*100)</x:f>
      </x:c>
      <x:c r="V165" t="str">
        <x:f>IF(OR(E165="",T165="",U165=""),"",E165*T165/U165)</x:f>
      </x:c>
      <x:c r="W165" t="str">
        <x:f>IF(OR(F165="",T165="",U165=""),"",F165*T165/U165)</x:f>
      </x:c>
    </x:row>
    <x:row r="166">
      <x:c r="R166" t="str">
        <x:f>IF(OR(E166="",G166=""),"",E166/G166)</x:f>
      </x:c>
      <x:c r="S166" t="str">
        <x:f>IF(OR(F166="",G166=""),"",F166/G166)</x:f>
      </x:c>
      <x:c r="T166" t="str">
        <x:f>IF(OR(H166="",I166="",J166=""),"",0.45*H166^2/(4*PI())+0.10*I166^2/(4*PI())+0.45*J166^2/(4*PI()))</x:f>
      </x:c>
      <x:c r="U166" t="str">
        <x:f>IF(G166="","",1.1*G166*100)</x:f>
      </x:c>
      <x:c r="V166" t="str">
        <x:f>IF(OR(E166="",T166="",U166=""),"",E166*T166/U166)</x:f>
      </x:c>
      <x:c r="W166" t="str">
        <x:f>IF(OR(F166="",T166="",U166=""),"",F166*T166/U166)</x:f>
      </x:c>
    </x:row>
    <x:row r="167">
      <x:c r="R167" t="str">
        <x:f>IF(OR(E167="",G167=""),"",E167/G167)</x:f>
      </x:c>
      <x:c r="S167" t="str">
        <x:f>IF(OR(F167="",G167=""),"",F167/G167)</x:f>
      </x:c>
      <x:c r="T167" t="str">
        <x:f>IF(OR(H167="",I167="",J167=""),"",0.45*H167^2/(4*PI())+0.10*I167^2/(4*PI())+0.45*J167^2/(4*PI()))</x:f>
      </x:c>
      <x:c r="U167" t="str">
        <x:f>IF(G167="","",1.1*G167*100)</x:f>
      </x:c>
      <x:c r="V167" t="str">
        <x:f>IF(OR(E167="",T167="",U167=""),"",E167*T167/U167)</x:f>
      </x:c>
      <x:c r="W167" t="str">
        <x:f>IF(OR(F167="",T167="",U167=""),"",F167*T167/U167)</x:f>
      </x:c>
    </x:row>
    <x:row r="168">
      <x:c r="R168" t="str">
        <x:f>IF(OR(E168="",G168=""),"",E168/G168)</x:f>
      </x:c>
      <x:c r="S168" t="str">
        <x:f>IF(OR(F168="",G168=""),"",F168/G168)</x:f>
      </x:c>
      <x:c r="T168" t="str">
        <x:f>IF(OR(H168="",I168="",J168=""),"",0.45*H168^2/(4*PI())+0.10*I168^2/(4*PI())+0.45*J168^2/(4*PI()))</x:f>
      </x:c>
      <x:c r="U168" t="str">
        <x:f>IF(G168="","",1.1*G168*100)</x:f>
      </x:c>
      <x:c r="V168" t="str">
        <x:f>IF(OR(E168="",T168="",U168=""),"",E168*T168/U168)</x:f>
      </x:c>
      <x:c r="W168" t="str">
        <x:f>IF(OR(F168="",T168="",U168=""),"",F168*T168/U168)</x:f>
      </x:c>
    </x:row>
    <x:row r="169">
      <x:c r="R169" t="str">
        <x:f>IF(OR(E169="",G169=""),"",E169/G169)</x:f>
      </x:c>
      <x:c r="S169" t="str">
        <x:f>IF(OR(F169="",G169=""),"",F169/G169)</x:f>
      </x:c>
      <x:c r="T169" t="str">
        <x:f>IF(OR(H169="",I169="",J169=""),"",0.45*H169^2/(4*PI())+0.10*I169^2/(4*PI())+0.45*J169^2/(4*PI()))</x:f>
      </x:c>
      <x:c r="U169" t="str">
        <x:f>IF(G169="","",1.1*G169*100)</x:f>
      </x:c>
      <x:c r="V169" t="str">
        <x:f>IF(OR(E169="",T169="",U169=""),"",E169*T169/U169)</x:f>
      </x:c>
      <x:c r="W169" t="str">
        <x:f>IF(OR(F169="",T169="",U169=""),"",F169*T169/U169)</x:f>
      </x:c>
    </x:row>
    <x:row r="170">
      <x:c r="R170" t="str">
        <x:f>IF(OR(E170="",G170=""),"",E170/G170)</x:f>
      </x:c>
      <x:c r="S170" t="str">
        <x:f>IF(OR(F170="",G170=""),"",F170/G170)</x:f>
      </x:c>
      <x:c r="T170" t="str">
        <x:f>IF(OR(H170="",I170="",J170=""),"",0.45*H170^2/(4*PI())+0.10*I170^2/(4*PI())+0.45*J170^2/(4*PI()))</x:f>
      </x:c>
      <x:c r="U170" t="str">
        <x:f>IF(G170="","",1.1*G170*100)</x:f>
      </x:c>
      <x:c r="V170" t="str">
        <x:f>IF(OR(E170="",T170="",U170=""),"",E170*T170/U170)</x:f>
      </x:c>
      <x:c r="W170" t="str">
        <x:f>IF(OR(F170="",T170="",U170=""),"",F170*T170/U170)</x:f>
      </x:c>
    </x:row>
    <x:row r="171">
      <x:c r="R171" t="str">
        <x:f>IF(OR(E171="",G171=""),"",E171/G171)</x:f>
      </x:c>
      <x:c r="S171" t="str">
        <x:f>IF(OR(F171="",G171=""),"",F171/G171)</x:f>
      </x:c>
      <x:c r="T171" t="str">
        <x:f>IF(OR(H171="",I171="",J171=""),"",0.45*H171^2/(4*PI())+0.10*I171^2/(4*PI())+0.45*J171^2/(4*PI()))</x:f>
      </x:c>
      <x:c r="U171" t="str">
        <x:f>IF(G171="","",1.1*G171*100)</x:f>
      </x:c>
      <x:c r="V171" t="str">
        <x:f>IF(OR(E171="",T171="",U171=""),"",E171*T171/U171)</x:f>
      </x:c>
      <x:c r="W171" t="str">
        <x:f>IF(OR(F171="",T171="",U171=""),"",F171*T171/U171)</x:f>
      </x:c>
    </x:row>
    <x:row r="172">
      <x:c r="R172" t="str">
        <x:f>IF(OR(E172="",G172=""),"",E172/G172)</x:f>
      </x:c>
      <x:c r="S172" t="str">
        <x:f>IF(OR(F172="",G172=""),"",F172/G172)</x:f>
      </x:c>
      <x:c r="T172" t="str">
        <x:f>IF(OR(H172="",I172="",J172=""),"",0.45*H172^2/(4*PI())+0.10*I172^2/(4*PI())+0.45*J172^2/(4*PI()))</x:f>
      </x:c>
      <x:c r="U172" t="str">
        <x:f>IF(G172="","",1.1*G172*100)</x:f>
      </x:c>
      <x:c r="V172" t="str">
        <x:f>IF(OR(E172="",T172="",U172=""),"",E172*T172/U172)</x:f>
      </x:c>
      <x:c r="W172" t="str">
        <x:f>IF(OR(F172="",T172="",U172=""),"",F172*T172/U172)</x:f>
      </x:c>
    </x:row>
    <x:row r="173">
      <x:c r="R173" t="str">
        <x:f>IF(OR(E173="",G173=""),"",E173/G173)</x:f>
      </x:c>
      <x:c r="S173" t="str">
        <x:f>IF(OR(F173="",G173=""),"",F173/G173)</x:f>
      </x:c>
      <x:c r="T173" t="str">
        <x:f>IF(OR(H173="",I173="",J173=""),"",0.45*H173^2/(4*PI())+0.10*I173^2/(4*PI())+0.45*J173^2/(4*PI()))</x:f>
      </x:c>
      <x:c r="U173" t="str">
        <x:f>IF(G173="","",1.1*G173*100)</x:f>
      </x:c>
      <x:c r="V173" t="str">
        <x:f>IF(OR(E173="",T173="",U173=""),"",E173*T173/U173)</x:f>
      </x:c>
      <x:c r="W173" t="str">
        <x:f>IF(OR(F173="",T173="",U173=""),"",F173*T173/U173)</x:f>
      </x:c>
    </x:row>
    <x:row r="174">
      <x:c r="R174" t="str">
        <x:f>IF(OR(E174="",G174=""),"",E174/G174)</x:f>
      </x:c>
      <x:c r="S174" t="str">
        <x:f>IF(OR(F174="",G174=""),"",F174/G174)</x:f>
      </x:c>
      <x:c r="T174" t="str">
        <x:f>IF(OR(H174="",I174="",J174=""),"",0.45*H174^2/(4*PI())+0.10*I174^2/(4*PI())+0.45*J174^2/(4*PI()))</x:f>
      </x:c>
      <x:c r="U174" t="str">
        <x:f>IF(G174="","",1.1*G174*100)</x:f>
      </x:c>
      <x:c r="V174" t="str">
        <x:f>IF(OR(E174="",T174="",U174=""),"",E174*T174/U174)</x:f>
      </x:c>
      <x:c r="W174" t="str">
        <x:f>IF(OR(F174="",T174="",U174=""),"",F174*T174/U174)</x:f>
      </x:c>
    </x:row>
    <x:row r="175">
      <x:c r="R175" t="str">
        <x:f>IF(OR(E175="",G175=""),"",E175/G175)</x:f>
      </x:c>
      <x:c r="S175" t="str">
        <x:f>IF(OR(F175="",G175=""),"",F175/G175)</x:f>
      </x:c>
      <x:c r="T175" t="str">
        <x:f>IF(OR(H175="",I175="",J175=""),"",0.45*H175^2/(4*PI())+0.10*I175^2/(4*PI())+0.45*J175^2/(4*PI()))</x:f>
      </x:c>
      <x:c r="U175" t="str">
        <x:f>IF(G175="","",1.1*G175*100)</x:f>
      </x:c>
      <x:c r="V175" t="str">
        <x:f>IF(OR(E175="",T175="",U175=""),"",E175*T175/U175)</x:f>
      </x:c>
      <x:c r="W175" t="str">
        <x:f>IF(OR(F175="",T175="",U175=""),"",F175*T175/U175)</x:f>
      </x:c>
    </x:row>
    <x:row r="176">
      <x:c r="R176" t="str">
        <x:f>IF(OR(E176="",G176=""),"",E176/G176)</x:f>
      </x:c>
      <x:c r="S176" t="str">
        <x:f>IF(OR(F176="",G176=""),"",F176/G176)</x:f>
      </x:c>
      <x:c r="T176" t="str">
        <x:f>IF(OR(H176="",I176="",J176=""),"",0.45*H176^2/(4*PI())+0.10*I176^2/(4*PI())+0.45*J176^2/(4*PI()))</x:f>
      </x:c>
      <x:c r="U176" t="str">
        <x:f>IF(G176="","",1.1*G176*100)</x:f>
      </x:c>
      <x:c r="V176" t="str">
        <x:f>IF(OR(E176="",T176="",U176=""),"",E176*T176/U176)</x:f>
      </x:c>
      <x:c r="W176" t="str">
        <x:f>IF(OR(F176="",T176="",U176=""),"",F176*T176/U176)</x:f>
      </x:c>
    </x:row>
    <x:row r="177">
      <x:c r="R177" t="str">
        <x:f>IF(OR(E177="",G177=""),"",E177/G177)</x:f>
      </x:c>
      <x:c r="S177" t="str">
        <x:f>IF(OR(F177="",G177=""),"",F177/G177)</x:f>
      </x:c>
      <x:c r="T177" t="str">
        <x:f>IF(OR(H177="",I177="",J177=""),"",0.45*H177^2/(4*PI())+0.10*I177^2/(4*PI())+0.45*J177^2/(4*PI()))</x:f>
      </x:c>
      <x:c r="U177" t="str">
        <x:f>IF(G177="","",1.1*G177*100)</x:f>
      </x:c>
      <x:c r="V177" t="str">
        <x:f>IF(OR(E177="",T177="",U177=""),"",E177*T177/U177)</x:f>
      </x:c>
      <x:c r="W177" t="str">
        <x:f>IF(OR(F177="",T177="",U177=""),"",F177*T177/U177)</x:f>
      </x:c>
    </x:row>
    <x:row r="178">
      <x:c r="R178" t="str">
        <x:f>IF(OR(E178="",G178=""),"",E178/G178)</x:f>
      </x:c>
      <x:c r="S178" t="str">
        <x:f>IF(OR(F178="",G178=""),"",F178/G178)</x:f>
      </x:c>
      <x:c r="T178" t="str">
        <x:f>IF(OR(H178="",I178="",J178=""),"",0.45*H178^2/(4*PI())+0.10*I178^2/(4*PI())+0.45*J178^2/(4*PI()))</x:f>
      </x:c>
      <x:c r="U178" t="str">
        <x:f>IF(G178="","",1.1*G178*100)</x:f>
      </x:c>
      <x:c r="V178" t="str">
        <x:f>IF(OR(E178="",T178="",U178=""),"",E178*T178/U178)</x:f>
      </x:c>
      <x:c r="W178" t="str">
        <x:f>IF(OR(F178="",T178="",U178=""),"",F178*T178/U178)</x:f>
      </x:c>
    </x:row>
    <x:row r="179">
      <x:c r="R179" t="str">
        <x:f>IF(OR(E179="",G179=""),"",E179/G179)</x:f>
      </x:c>
      <x:c r="S179" t="str">
        <x:f>IF(OR(F179="",G179=""),"",F179/G179)</x:f>
      </x:c>
      <x:c r="T179" t="str">
        <x:f>IF(OR(H179="",I179="",J179=""),"",0.45*H179^2/(4*PI())+0.10*I179^2/(4*PI())+0.45*J179^2/(4*PI()))</x:f>
      </x:c>
      <x:c r="U179" t="str">
        <x:f>IF(G179="","",1.1*G179*100)</x:f>
      </x:c>
      <x:c r="V179" t="str">
        <x:f>IF(OR(E179="",T179="",U179=""),"",E179*T179/U179)</x:f>
      </x:c>
      <x:c r="W179" t="str">
        <x:f>IF(OR(F179="",T179="",U179=""),"",F179*T179/U179)</x:f>
      </x:c>
    </x:row>
    <x:row r="180">
      <x:c r="R180" t="str">
        <x:f>IF(OR(E180="",G180=""),"",E180/G180)</x:f>
      </x:c>
      <x:c r="S180" t="str">
        <x:f>IF(OR(F180="",G180=""),"",F180/G180)</x:f>
      </x:c>
      <x:c r="T180" t="str">
        <x:f>IF(OR(H180="",I180="",J180=""),"",0.45*H180^2/(4*PI())+0.10*I180^2/(4*PI())+0.45*J180^2/(4*PI()))</x:f>
      </x:c>
      <x:c r="U180" t="str">
        <x:f>IF(G180="","",1.1*G180*100)</x:f>
      </x:c>
      <x:c r="V180" t="str">
        <x:f>IF(OR(E180="",T180="",U180=""),"",E180*T180/U180)</x:f>
      </x:c>
      <x:c r="W180" t="str">
        <x:f>IF(OR(F180="",T180="",U180=""),"",F180*T180/U180)</x:f>
      </x:c>
    </x:row>
    <x:row r="181">
      <x:c r="R181" t="str">
        <x:f>IF(OR(E181="",G181=""),"",E181/G181)</x:f>
      </x:c>
      <x:c r="S181" t="str">
        <x:f>IF(OR(F181="",G181=""),"",F181/G181)</x:f>
      </x:c>
      <x:c r="T181" t="str">
        <x:f>IF(OR(H181="",I181="",J181=""),"",0.45*H181^2/(4*PI())+0.10*I181^2/(4*PI())+0.45*J181^2/(4*PI()))</x:f>
      </x:c>
      <x:c r="U181" t="str">
        <x:f>IF(G181="","",1.1*G181*100)</x:f>
      </x:c>
      <x:c r="V181" t="str">
        <x:f>IF(OR(E181="",T181="",U181=""),"",E181*T181/U181)</x:f>
      </x:c>
      <x:c r="W181" t="str">
        <x:f>IF(OR(F181="",T181="",U181=""),"",F181*T181/U181)</x:f>
      </x:c>
    </x:row>
    <x:row r="182">
      <x:c r="R182" t="str">
        <x:f>IF(OR(E182="",G182=""),"",E182/G182)</x:f>
      </x:c>
      <x:c r="S182" t="str">
        <x:f>IF(OR(F182="",G182=""),"",F182/G182)</x:f>
      </x:c>
      <x:c r="T182" t="str">
        <x:f>IF(OR(H182="",I182="",J182=""),"",0.45*H182^2/(4*PI())+0.10*I182^2/(4*PI())+0.45*J182^2/(4*PI()))</x:f>
      </x:c>
      <x:c r="U182" t="str">
        <x:f>IF(G182="","",1.1*G182*100)</x:f>
      </x:c>
      <x:c r="V182" t="str">
        <x:f>IF(OR(E182="",T182="",U182=""),"",E182*T182/U182)</x:f>
      </x:c>
      <x:c r="W182" t="str">
        <x:f>IF(OR(F182="",T182="",U182=""),"",F182*T182/U182)</x:f>
      </x:c>
    </x:row>
    <x:row r="183">
      <x:c r="R183" t="str">
        <x:f>IF(OR(E183="",G183=""),"",E183/G183)</x:f>
      </x:c>
      <x:c r="S183" t="str">
        <x:f>IF(OR(F183="",G183=""),"",F183/G183)</x:f>
      </x:c>
      <x:c r="T183" t="str">
        <x:f>IF(OR(H183="",I183="",J183=""),"",0.45*H183^2/(4*PI())+0.10*I183^2/(4*PI())+0.45*J183^2/(4*PI()))</x:f>
      </x:c>
      <x:c r="U183" t="str">
        <x:f>IF(G183="","",1.1*G183*100)</x:f>
      </x:c>
      <x:c r="V183" t="str">
        <x:f>IF(OR(E183="",T183="",U183=""),"",E183*T183/U183)</x:f>
      </x:c>
      <x:c r="W183" t="str">
        <x:f>IF(OR(F183="",T183="",U183=""),"",F183*T183/U183)</x:f>
      </x:c>
    </x:row>
    <x:row r="184">
      <x:c r="R184" t="str">
        <x:f>IF(OR(E184="",G184=""),"",E184/G184)</x:f>
      </x:c>
      <x:c r="S184" t="str">
        <x:f>IF(OR(F184="",G184=""),"",F184/G184)</x:f>
      </x:c>
      <x:c r="T184" t="str">
        <x:f>IF(OR(H184="",I184="",J184=""),"",0.45*H184^2/(4*PI())+0.10*I184^2/(4*PI())+0.45*J184^2/(4*PI()))</x:f>
      </x:c>
      <x:c r="U184" t="str">
        <x:f>IF(G184="","",1.1*G184*100)</x:f>
      </x:c>
      <x:c r="V184" t="str">
        <x:f>IF(OR(E184="",T184="",U184=""),"",E184*T184/U184)</x:f>
      </x:c>
      <x:c r="W184" t="str">
        <x:f>IF(OR(F184="",T184="",U184=""),"",F184*T184/U184)</x:f>
      </x:c>
    </x:row>
    <x:row r="185">
      <x:c r="R185" t="str">
        <x:f>IF(OR(E185="",G185=""),"",E185/G185)</x:f>
      </x:c>
      <x:c r="S185" t="str">
        <x:f>IF(OR(F185="",G185=""),"",F185/G185)</x:f>
      </x:c>
      <x:c r="T185" t="str">
        <x:f>IF(OR(H185="",I185="",J185=""),"",0.45*H185^2/(4*PI())+0.10*I185^2/(4*PI())+0.45*J185^2/(4*PI()))</x:f>
      </x:c>
      <x:c r="U185" t="str">
        <x:f>IF(G185="","",1.1*G185*100)</x:f>
      </x:c>
      <x:c r="V185" t="str">
        <x:f>IF(OR(E185="",T185="",U185=""),"",E185*T185/U185)</x:f>
      </x:c>
      <x:c r="W185" t="str">
        <x:f>IF(OR(F185="",T185="",U185=""),"",F185*T185/U185)</x:f>
      </x:c>
    </x:row>
    <x:row r="186">
      <x:c r="R186" t="str">
        <x:f>IF(OR(E186="",G186=""),"",E186/G186)</x:f>
      </x:c>
      <x:c r="S186" t="str">
        <x:f>IF(OR(F186="",G186=""),"",F186/G186)</x:f>
      </x:c>
      <x:c r="T186" t="str">
        <x:f>IF(OR(H186="",I186="",J186=""),"",0.45*H186^2/(4*PI())+0.10*I186^2/(4*PI())+0.45*J186^2/(4*PI()))</x:f>
      </x:c>
      <x:c r="U186" t="str">
        <x:f>IF(G186="","",1.1*G186*100)</x:f>
      </x:c>
      <x:c r="V186" t="str">
        <x:f>IF(OR(E186="",T186="",U186=""),"",E186*T186/U186)</x:f>
      </x:c>
      <x:c r="W186" t="str">
        <x:f>IF(OR(F186="",T186="",U186=""),"",F186*T186/U186)</x:f>
      </x:c>
    </x:row>
    <x:row r="187">
      <x:c r="R187" t="str">
        <x:f>IF(OR(E187="",G187=""),"",E187/G187)</x:f>
      </x:c>
      <x:c r="S187" t="str">
        <x:f>IF(OR(F187="",G187=""),"",F187/G187)</x:f>
      </x:c>
      <x:c r="T187" t="str">
        <x:f>IF(OR(H187="",I187="",J187=""),"",0.45*H187^2/(4*PI())+0.10*I187^2/(4*PI())+0.45*J187^2/(4*PI()))</x:f>
      </x:c>
      <x:c r="U187" t="str">
        <x:f>IF(G187="","",1.1*G187*100)</x:f>
      </x:c>
      <x:c r="V187" t="str">
        <x:f>IF(OR(E187="",T187="",U187=""),"",E187*T187/U187)</x:f>
      </x:c>
      <x:c r="W187" t="str">
        <x:f>IF(OR(F187="",T187="",U187=""),"",F187*T187/U187)</x:f>
      </x:c>
    </x:row>
    <x:row r="188">
      <x:c r="R188" t="str">
        <x:f>IF(OR(E188="",G188=""),"",E188/G188)</x:f>
      </x:c>
      <x:c r="S188" t="str">
        <x:f>IF(OR(F188="",G188=""),"",F188/G188)</x:f>
      </x:c>
      <x:c r="T188" t="str">
        <x:f>IF(OR(H188="",I188="",J188=""),"",0.45*H188^2/(4*PI())+0.10*I188^2/(4*PI())+0.45*J188^2/(4*PI()))</x:f>
      </x:c>
      <x:c r="U188" t="str">
        <x:f>IF(G188="","",1.1*G188*100)</x:f>
      </x:c>
      <x:c r="V188" t="str">
        <x:f>IF(OR(E188="",T188="",U188=""),"",E188*T188/U188)</x:f>
      </x:c>
      <x:c r="W188" t="str">
        <x:f>IF(OR(F188="",T188="",U188=""),"",F188*T188/U188)</x:f>
      </x:c>
    </x:row>
    <x:row r="189">
      <x:c r="R189" t="str">
        <x:f>IF(OR(E189="",G189=""),"",E189/G189)</x:f>
      </x:c>
      <x:c r="S189" t="str">
        <x:f>IF(OR(F189="",G189=""),"",F189/G189)</x:f>
      </x:c>
      <x:c r="T189" t="str">
        <x:f>IF(OR(H189="",I189="",J189=""),"",0.45*H189^2/(4*PI())+0.10*I189^2/(4*PI())+0.45*J189^2/(4*PI()))</x:f>
      </x:c>
      <x:c r="U189" t="str">
        <x:f>IF(G189="","",1.1*G189*100)</x:f>
      </x:c>
      <x:c r="V189" t="str">
        <x:f>IF(OR(E189="",T189="",U189=""),"",E189*T189/U189)</x:f>
      </x:c>
      <x:c r="W189" t="str">
        <x:f>IF(OR(F189="",T189="",U189=""),"",F189*T189/U189)</x:f>
      </x:c>
    </x:row>
    <x:row r="190">
      <x:c r="R190" t="str">
        <x:f>IF(OR(E190="",G190=""),"",E190/G190)</x:f>
      </x:c>
      <x:c r="S190" t="str">
        <x:f>IF(OR(F190="",G190=""),"",F190/G190)</x:f>
      </x:c>
      <x:c r="T190" t="str">
        <x:f>IF(OR(H190="",I190="",J190=""),"",0.45*H190^2/(4*PI())+0.10*I190^2/(4*PI())+0.45*J190^2/(4*PI()))</x:f>
      </x:c>
      <x:c r="U190" t="str">
        <x:f>IF(G190="","",1.1*G190*100)</x:f>
      </x:c>
      <x:c r="V190" t="str">
        <x:f>IF(OR(E190="",T190="",U190=""),"",E190*T190/U190)</x:f>
      </x:c>
      <x:c r="W190" t="str">
        <x:f>IF(OR(F190="",T190="",U190=""),"",F190*T190/U190)</x:f>
      </x:c>
    </x:row>
    <x:row r="191">
      <x:c r="R191" t="str">
        <x:f>IF(OR(E191="",G191=""),"",E191/G191)</x:f>
      </x:c>
      <x:c r="S191" t="str">
        <x:f>IF(OR(F191="",G191=""),"",F191/G191)</x:f>
      </x:c>
      <x:c r="T191" t="str">
        <x:f>IF(OR(H191="",I191="",J191=""),"",0.45*H191^2/(4*PI())+0.10*I191^2/(4*PI())+0.45*J191^2/(4*PI()))</x:f>
      </x:c>
      <x:c r="U191" t="str">
        <x:f>IF(G191="","",1.1*G191*100)</x:f>
      </x:c>
      <x:c r="V191" t="str">
        <x:f>IF(OR(E191="",T191="",U191=""),"",E191*T191/U191)</x:f>
      </x:c>
      <x:c r="W191" t="str">
        <x:f>IF(OR(F191="",T191="",U191=""),"",F191*T191/U191)</x:f>
      </x:c>
    </x:row>
    <x:row r="192">
      <x:c r="R192" t="str">
        <x:f>IF(OR(E192="",G192=""),"",E192/G192)</x:f>
      </x:c>
      <x:c r="S192" t="str">
        <x:f>IF(OR(F192="",G192=""),"",F192/G192)</x:f>
      </x:c>
      <x:c r="T192" t="str">
        <x:f>IF(OR(H192="",I192="",J192=""),"",0.45*H192^2/(4*PI())+0.10*I192^2/(4*PI())+0.45*J192^2/(4*PI()))</x:f>
      </x:c>
      <x:c r="U192" t="str">
        <x:f>IF(G192="","",1.1*G192*100)</x:f>
      </x:c>
      <x:c r="V192" t="str">
        <x:f>IF(OR(E192="",T192="",U192=""),"",E192*T192/U192)</x:f>
      </x:c>
      <x:c r="W192" t="str">
        <x:f>IF(OR(F192="",T192="",U192=""),"",F192*T192/U192)</x:f>
      </x:c>
    </x:row>
    <x:row r="193">
      <x:c r="R193" t="str">
        <x:f>IF(OR(E193="",G193=""),"",E193/G193)</x:f>
      </x:c>
      <x:c r="S193" t="str">
        <x:f>IF(OR(F193="",G193=""),"",F193/G193)</x:f>
      </x:c>
      <x:c r="T193" t="str">
        <x:f>IF(OR(H193="",I193="",J193=""),"",0.45*H193^2/(4*PI())+0.10*I193^2/(4*PI())+0.45*J193^2/(4*PI()))</x:f>
      </x:c>
      <x:c r="U193" t="str">
        <x:f>IF(G193="","",1.1*G193*100)</x:f>
      </x:c>
      <x:c r="V193" t="str">
        <x:f>IF(OR(E193="",T193="",U193=""),"",E193*T193/U193)</x:f>
      </x:c>
      <x:c r="W193" t="str">
        <x:f>IF(OR(F193="",T193="",U193=""),"",F193*T193/U193)</x:f>
      </x:c>
    </x:row>
    <x:row r="194">
      <x:c r="R194" t="str">
        <x:f>IF(OR(E194="",G194=""),"",E194/G194)</x:f>
      </x:c>
      <x:c r="S194" t="str">
        <x:f>IF(OR(F194="",G194=""),"",F194/G194)</x:f>
      </x:c>
      <x:c r="T194" t="str">
        <x:f>IF(OR(H194="",I194="",J194=""),"",0.45*H194^2/(4*PI())+0.10*I194^2/(4*PI())+0.45*J194^2/(4*PI()))</x:f>
      </x:c>
      <x:c r="U194" t="str">
        <x:f>IF(G194="","",1.1*G194*100)</x:f>
      </x:c>
      <x:c r="V194" t="str">
        <x:f>IF(OR(E194="",T194="",U194=""),"",E194*T194/U194)</x:f>
      </x:c>
      <x:c r="W194" t="str">
        <x:f>IF(OR(F194="",T194="",U194=""),"",F194*T194/U194)</x:f>
      </x:c>
    </x:row>
    <x:row r="195">
      <x:c r="R195" t="str">
        <x:f>IF(OR(E195="",G195=""),"",E195/G195)</x:f>
      </x:c>
      <x:c r="S195" t="str">
        <x:f>IF(OR(F195="",G195=""),"",F195/G195)</x:f>
      </x:c>
      <x:c r="T195" t="str">
        <x:f>IF(OR(H195="",I195="",J195=""),"",0.45*H195^2/(4*PI())+0.10*I195^2/(4*PI())+0.45*J195^2/(4*PI()))</x:f>
      </x:c>
      <x:c r="U195" t="str">
        <x:f>IF(G195="","",1.1*G195*100)</x:f>
      </x:c>
      <x:c r="V195" t="str">
        <x:f>IF(OR(E195="",T195="",U195=""),"",E195*T195/U195)</x:f>
      </x:c>
      <x:c r="W195" t="str">
        <x:f>IF(OR(F195="",T195="",U195=""),"",F195*T195/U195)</x:f>
      </x:c>
    </x:row>
    <x:row r="196">
      <x:c r="R196" t="str">
        <x:f>IF(OR(E196="",G196=""),"",E196/G196)</x:f>
      </x:c>
      <x:c r="S196" t="str">
        <x:f>IF(OR(F196="",G196=""),"",F196/G196)</x:f>
      </x:c>
      <x:c r="T196" t="str">
        <x:f>IF(OR(H196="",I196="",J196=""),"",0.45*H196^2/(4*PI())+0.10*I196^2/(4*PI())+0.45*J196^2/(4*PI()))</x:f>
      </x:c>
      <x:c r="U196" t="str">
        <x:f>IF(G196="","",1.1*G196*100)</x:f>
      </x:c>
      <x:c r="V196" t="str">
        <x:f>IF(OR(E196="",T196="",U196=""),"",E196*T196/U196)</x:f>
      </x:c>
      <x:c r="W196" t="str">
        <x:f>IF(OR(F196="",T196="",U196=""),"",F196*T196/U196)</x:f>
      </x:c>
    </x:row>
    <x:row r="197">
      <x:c r="R197" t="str">
        <x:f>IF(OR(E197="",G197=""),"",E197/G197)</x:f>
      </x:c>
      <x:c r="S197" t="str">
        <x:f>IF(OR(F197="",G197=""),"",F197/G197)</x:f>
      </x:c>
      <x:c r="T197" t="str">
        <x:f>IF(OR(H197="",I197="",J197=""),"",0.45*H197^2/(4*PI())+0.10*I197^2/(4*PI())+0.45*J197^2/(4*PI()))</x:f>
      </x:c>
      <x:c r="U197" t="str">
        <x:f>IF(G197="","",1.1*G197*100)</x:f>
      </x:c>
      <x:c r="V197" t="str">
        <x:f>IF(OR(E197="",T197="",U197=""),"",E197*T197/U197)</x:f>
      </x:c>
      <x:c r="W197" t="str">
        <x:f>IF(OR(F197="",T197="",U197=""),"",F197*T197/U197)</x:f>
      </x:c>
    </x:row>
    <x:row r="198">
      <x:c r="R198" t="str">
        <x:f>IF(OR(E198="",G198=""),"",E198/G198)</x:f>
      </x:c>
      <x:c r="S198" t="str">
        <x:f>IF(OR(F198="",G198=""),"",F198/G198)</x:f>
      </x:c>
      <x:c r="T198" t="str">
        <x:f>IF(OR(H198="",I198="",J198=""),"",0.45*H198^2/(4*PI())+0.10*I198^2/(4*PI())+0.45*J198^2/(4*PI()))</x:f>
      </x:c>
      <x:c r="U198" t="str">
        <x:f>IF(G198="","",1.1*G198*100)</x:f>
      </x:c>
      <x:c r="V198" t="str">
        <x:f>IF(OR(E198="",T198="",U198=""),"",E198*T198/U198)</x:f>
      </x:c>
      <x:c r="W198" t="str">
        <x:f>IF(OR(F198="",T198="",U198=""),"",F198*T198/U198)</x:f>
      </x:c>
    </x:row>
    <x:row r="199">
      <x:c r="R199" t="str">
        <x:f>IF(OR(E199="",G199=""),"",E199/G199)</x:f>
      </x:c>
      <x:c r="S199" t="str">
        <x:f>IF(OR(F199="",G199=""),"",F199/G199)</x:f>
      </x:c>
      <x:c r="T199" t="str">
        <x:f>IF(OR(H199="",I199="",J199=""),"",0.45*H199^2/(4*PI())+0.10*I199^2/(4*PI())+0.45*J199^2/(4*PI()))</x:f>
      </x:c>
      <x:c r="U199" t="str">
        <x:f>IF(G199="","",1.1*G199*100)</x:f>
      </x:c>
      <x:c r="V199" t="str">
        <x:f>IF(OR(E199="",T199="",U199=""),"",E199*T199/U199)</x:f>
      </x:c>
      <x:c r="W199" t="str">
        <x:f>IF(OR(F199="",T199="",U199=""),"",F199*T199/U199)</x:f>
      </x:c>
    </x:row>
    <x:row r="200">
      <x:c r="R200" t="str">
        <x:f>IF(OR(E200="",G200=""),"",E200/G200)</x:f>
      </x:c>
      <x:c r="S200" t="str">
        <x:f>IF(OR(F200="",G200=""),"",F200/G200)</x:f>
      </x:c>
      <x:c r="T200" t="str">
        <x:f>IF(OR(H200="",I200="",J200=""),"",0.45*H200^2/(4*PI())+0.10*I200^2/(4*PI())+0.45*J200^2/(4*PI()))</x:f>
      </x:c>
      <x:c r="U200" t="str">
        <x:f>IF(G200="","",1.1*G200*100)</x:f>
      </x:c>
      <x:c r="V200" t="str">
        <x:f>IF(OR(E200="",T200="",U200=""),"",E200*T200/U200)</x:f>
      </x:c>
      <x:c r="W200" t="str">
        <x:f>IF(OR(F200="",T200="",U200=""),"",F200*T200/U200)</x:f>
      </x:c>
    </x:row>
    <x:row r="201">
      <x:c r="R201" t="str">
        <x:f>IF(OR(E201="",G201=""),"",E201/G201)</x:f>
      </x:c>
      <x:c r="S201" t="str">
        <x:f>IF(OR(F201="",G201=""),"",F201/G201)</x:f>
      </x:c>
      <x:c r="T201" t="str">
        <x:f>IF(OR(H201="",I201="",J201=""),"",0.45*H201^2/(4*PI())+0.10*I201^2/(4*PI())+0.45*J201^2/(4*PI()))</x:f>
      </x:c>
      <x:c r="U201" t="str">
        <x:f>IF(G201="","",1.1*G201*100)</x:f>
      </x:c>
      <x:c r="V201" t="str">
        <x:f>IF(OR(E201="",T201="",U201=""),"",E201*T201/U201)</x:f>
      </x:c>
      <x:c r="W201" t="str">
        <x:f>IF(OR(F201="",T201="",U201=""),"",F201*T201/U201)</x:f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cols>
    <x:col min="1" max="1" width="26.83203125" customWidth="1"/>
    <x:col min="2" max="2" width="32.83203125" customWidth="1"/>
  </x:cols>
  <x:sheetData>
    <x:row r="1">
      <x:c r="A1" t="str">
        <x:v>Cores sugeridas para "Cor"</x:v>
      </x:c>
      <x:c r="B1" t="str"/>
    </x:row>
    <x:row r="2">
      <x:c r="A2" t="str">
        <x:v>Código hex</x:v>
      </x:c>
      <x:c r="B2" t="str">
        <x:v>Uso sugerido</x:v>
      </x:c>
    </x:row>
    <x:row r="3">
      <x:c r="A3" t="str">
        <x:v>#2F4FD6</x:v>
      </x:c>
      <x:c r="B3" t="str">
        <x:v>Grupo/população 1 (azul)</x:v>
      </x:c>
    </x:row>
    <x:row r="4">
      <x:c r="A4" t="str">
        <x:v>#E0662A</x:v>
      </x:c>
      <x:c r="B4" t="str">
        <x:v>Grupo/população 2 (laranja)</x:v>
      </x:c>
    </x:row>
    <x:row r="5">
      <x:c r="A5" t="str">
        <x:v>#0F9D8F</x:v>
      </x:c>
      <x:c r="B5" t="str">
        <x:v>Grupo/população 3 (verde-água)</x:v>
      </x:c>
    </x:row>
    <x:row r="6">
      <x:c r="A6" t="str">
        <x:v>#7B3FF2</x:v>
      </x:c>
      <x:c r="B6" t="str">
        <x:v>Grupo/população 4 (violeta)</x:v>
      </x:c>
    </x:row>
    <x:row r="7">
      <x:c r="A7" t="str">
        <x:v>#C0248F</x:v>
      </x:c>
      <x:c r="B7" t="str">
        <x:v>Grupo/população 5 (magenta)</x:v>
      </x:c>
    </x:row>
    <x:row r="8">
      <x:c r="A8" t="str">
        <x:v>#B45309</x:v>
      </x:c>
      <x:c r="B8" t="str">
        <x:v>Grupo/população 6 (marrom)</x:v>
      </x:c>
    </x:row>
    <x:row r="9">
      <x:c r="A9" t="str"/>
      <x:c r="B9" t="str"/>
    </x:row>
    <x:row r="10">
      <x:c r="A10" t="str">
        <x:v>Símbolos válidos para "Simbolo"</x:v>
      </x:c>
      <x:c r="B10" t="str"/>
    </x:row>
    <x:row r="11">
      <x:c r="A11" t="str">
        <x:v>circle</x:v>
      </x:c>
      <x:c r="B11" t="str">
        <x:v>Círculo (padrão)</x:v>
      </x:c>
    </x:row>
    <x:row r="12">
      <x:c r="A12" t="str">
        <x:v>square</x:v>
      </x:c>
      <x:c r="B12" t="str">
        <x:v>Quadrado</x:v>
      </x:c>
    </x:row>
    <x:row r="13">
      <x:c r="A13" t="str">
        <x:v>diamond</x:v>
      </x:c>
      <x:c r="B13" t="str">
        <x:v>Losango</x:v>
      </x:c>
    </x:row>
    <x:row r="14">
      <x:c r="A14" t="str">
        <x:v>triangle</x:v>
      </x:c>
      <x:c r="B14" t="str">
        <x:v>Triângulo</x:v>
      </x:c>
    </x:row>
  </x:sheetData>
  <x:mergeCells>
    <x:mergeCell ref="A1:B1"/>
    <x:mergeCell ref="A10:B10"/>
  </x:mergeCells>
  <x:pageMargins left="0.7" right="0.7" top="0.75" bottom="0.75" header="0.3" footer="0.3"/>
</x:worksheet>
</file>